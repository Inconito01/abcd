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9200" windowHeight="7350"/>
  </bookViews>
  <sheets>
    <sheet name="Sheet1" sheetId="2" r:id="rId1"/>
    <sheet name="sales_data" sheetId="1" r:id="rId2"/>
  </sheets>
  <definedNames>
    <definedName name="_xlnm._FilterDatabase" localSheetId="1" hidden="1">sales_data!$M$2:$M$1001</definedName>
    <definedName name="_xlnm.Extract" localSheetId="1">sales_data!$A$1015</definedName>
  </definedNames>
  <calcPr calcId="162913"/>
  <pivotCaches>
    <pivotCache cacheId="4" r:id="rId3"/>
  </pivotCaches>
</workbook>
</file>

<file path=xl/calcChain.xml><?xml version="1.0" encoding="utf-8"?>
<calcChain xmlns="http://schemas.openxmlformats.org/spreadsheetml/2006/main">
  <c r="C1016" i="1" l="1"/>
  <c r="C1015" i="1"/>
  <c r="G1023" i="1"/>
  <c r="G1022" i="1"/>
  <c r="G1021" i="1"/>
  <c r="G1020" i="1"/>
  <c r="G1019" i="1"/>
  <c r="H1011" i="1"/>
  <c r="F1019" i="1"/>
  <c r="G1013" i="1"/>
  <c r="F1023" i="1"/>
  <c r="F1022" i="1"/>
  <c r="F1021" i="1"/>
  <c r="F1020" i="1"/>
  <c r="G1011" i="1"/>
  <c r="J1014" i="1"/>
  <c r="G1014" i="1"/>
  <c r="G1012" i="1"/>
  <c r="J1013" i="1"/>
  <c r="J1012" i="1"/>
  <c r="J1011" i="1"/>
  <c r="H1012" i="1"/>
  <c r="H1014" i="1"/>
  <c r="H1013" i="1"/>
  <c r="F1007" i="1"/>
  <c r="H1007" i="1"/>
  <c r="I1007" i="1"/>
  <c r="K1007" i="1"/>
  <c r="O1007" i="1"/>
  <c r="P1007" i="1"/>
  <c r="Q1007" i="1"/>
  <c r="R1007" i="1"/>
  <c r="E1007" i="1"/>
  <c r="C1014" i="1"/>
  <c r="C1013" i="1"/>
  <c r="C1012" i="1"/>
  <c r="C1011" i="1"/>
  <c r="C1010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I1004" i="1"/>
  <c r="K1004" i="1"/>
  <c r="I1005" i="1"/>
  <c r="K1005" i="1"/>
  <c r="I1006" i="1"/>
  <c r="K1006" i="1"/>
  <c r="H1004" i="1"/>
  <c r="H1005" i="1"/>
  <c r="H1006" i="1"/>
  <c r="F1004" i="1"/>
  <c r="F1005" i="1"/>
  <c r="F1006" i="1"/>
  <c r="E1006" i="1"/>
  <c r="E1004" i="1"/>
  <c r="E1005" i="1"/>
  <c r="Q767" i="1"/>
  <c r="R767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Q202" i="1" s="1"/>
  <c r="R202" i="1" s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Q228" i="1" s="1"/>
  <c r="R228" i="1" s="1"/>
  <c r="O229" i="1"/>
  <c r="O230" i="1"/>
  <c r="O231" i="1"/>
  <c r="O232" i="1"/>
  <c r="O233" i="1"/>
  <c r="O234" i="1"/>
  <c r="O235" i="1"/>
  <c r="O236" i="1"/>
  <c r="Q236" i="1" s="1"/>
  <c r="R236" i="1" s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Q260" i="1" s="1"/>
  <c r="R260" i="1" s="1"/>
  <c r="O261" i="1"/>
  <c r="O262" i="1"/>
  <c r="O263" i="1"/>
  <c r="O264" i="1"/>
  <c r="O265" i="1"/>
  <c r="O266" i="1"/>
  <c r="O267" i="1"/>
  <c r="O268" i="1"/>
  <c r="Q268" i="1" s="1"/>
  <c r="R268" i="1" s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Q292" i="1" s="1"/>
  <c r="R292" i="1" s="1"/>
  <c r="O293" i="1"/>
  <c r="O294" i="1"/>
  <c r="O295" i="1"/>
  <c r="O296" i="1"/>
  <c r="O297" i="1"/>
  <c r="O298" i="1"/>
  <c r="O299" i="1"/>
  <c r="O300" i="1"/>
  <c r="Q300" i="1" s="1"/>
  <c r="R300" i="1" s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Q324" i="1" s="1"/>
  <c r="R324" i="1" s="1"/>
  <c r="O325" i="1"/>
  <c r="O326" i="1"/>
  <c r="O327" i="1"/>
  <c r="O328" i="1"/>
  <c r="O329" i="1"/>
  <c r="O330" i="1"/>
  <c r="O331" i="1"/>
  <c r="O332" i="1"/>
  <c r="Q332" i="1" s="1"/>
  <c r="R332" i="1" s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Q356" i="1" s="1"/>
  <c r="R356" i="1" s="1"/>
  <c r="O357" i="1"/>
  <c r="O358" i="1"/>
  <c r="O359" i="1"/>
  <c r="O360" i="1"/>
  <c r="O361" i="1"/>
  <c r="O362" i="1"/>
  <c r="O363" i="1"/>
  <c r="O364" i="1"/>
  <c r="Q364" i="1" s="1"/>
  <c r="R364" i="1" s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Q388" i="1" s="1"/>
  <c r="R388" i="1" s="1"/>
  <c r="O389" i="1"/>
  <c r="O390" i="1"/>
  <c r="O391" i="1"/>
  <c r="O392" i="1"/>
  <c r="O393" i="1"/>
  <c r="O394" i="1"/>
  <c r="O395" i="1"/>
  <c r="O396" i="1"/>
  <c r="Q396" i="1" s="1"/>
  <c r="R396" i="1" s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Q420" i="1" s="1"/>
  <c r="R420" i="1" s="1"/>
  <c r="O421" i="1"/>
  <c r="O422" i="1"/>
  <c r="O423" i="1"/>
  <c r="O424" i="1"/>
  <c r="O425" i="1"/>
  <c r="O426" i="1"/>
  <c r="O427" i="1"/>
  <c r="O428" i="1"/>
  <c r="Q428" i="1" s="1"/>
  <c r="R428" i="1" s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Q452" i="1" s="1"/>
  <c r="R452" i="1" s="1"/>
  <c r="O453" i="1"/>
  <c r="O454" i="1"/>
  <c r="O455" i="1"/>
  <c r="O456" i="1"/>
  <c r="O457" i="1"/>
  <c r="O458" i="1"/>
  <c r="O459" i="1"/>
  <c r="O460" i="1"/>
  <c r="Q460" i="1" s="1"/>
  <c r="R460" i="1" s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Q492" i="1" s="1"/>
  <c r="R492" i="1" s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Q754" i="1" s="1"/>
  <c r="R754" i="1" s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Q974" i="1" l="1"/>
  <c r="R974" i="1" s="1"/>
  <c r="Q934" i="1"/>
  <c r="R934" i="1" s="1"/>
  <c r="Q886" i="1"/>
  <c r="R886" i="1" s="1"/>
  <c r="Q830" i="1"/>
  <c r="R830" i="1" s="1"/>
  <c r="Q790" i="1"/>
  <c r="R790" i="1" s="1"/>
  <c r="Q742" i="1"/>
  <c r="R742" i="1" s="1"/>
  <c r="Q694" i="1"/>
  <c r="R694" i="1" s="1"/>
  <c r="Q662" i="1"/>
  <c r="R662" i="1" s="1"/>
  <c r="Q614" i="1"/>
  <c r="R614" i="1" s="1"/>
  <c r="Q574" i="1"/>
  <c r="R574" i="1" s="1"/>
  <c r="Q542" i="1"/>
  <c r="R542" i="1" s="1"/>
  <c r="Q518" i="1"/>
  <c r="R518" i="1" s="1"/>
  <c r="Q470" i="1"/>
  <c r="R470" i="1" s="1"/>
  <c r="Q438" i="1"/>
  <c r="R438" i="1" s="1"/>
  <c r="Q398" i="1"/>
  <c r="R398" i="1" s="1"/>
  <c r="Q366" i="1"/>
  <c r="R366" i="1" s="1"/>
  <c r="Q334" i="1"/>
  <c r="R334" i="1" s="1"/>
  <c r="Q302" i="1"/>
  <c r="R302" i="1" s="1"/>
  <c r="Q262" i="1"/>
  <c r="R262" i="1" s="1"/>
  <c r="Q222" i="1"/>
  <c r="R222" i="1" s="1"/>
  <c r="Q174" i="1"/>
  <c r="R174" i="1" s="1"/>
  <c r="Q150" i="1"/>
  <c r="R150" i="1" s="1"/>
  <c r="Q110" i="1"/>
  <c r="R110" i="1" s="1"/>
  <c r="Q70" i="1"/>
  <c r="R70" i="1" s="1"/>
  <c r="Q38" i="1"/>
  <c r="R38" i="1" s="1"/>
  <c r="Q14" i="1"/>
  <c r="R14" i="1" s="1"/>
  <c r="Q809" i="1"/>
  <c r="R809" i="1" s="1"/>
  <c r="Q966" i="1"/>
  <c r="R966" i="1" s="1"/>
  <c r="Q926" i="1"/>
  <c r="R926" i="1" s="1"/>
  <c r="Q878" i="1"/>
  <c r="R878" i="1" s="1"/>
  <c r="Q822" i="1"/>
  <c r="R822" i="1" s="1"/>
  <c r="Q798" i="1"/>
  <c r="R798" i="1" s="1"/>
  <c r="Q750" i="1"/>
  <c r="R750" i="1" s="1"/>
  <c r="Q638" i="1"/>
  <c r="R638" i="1" s="1"/>
  <c r="Q310" i="1"/>
  <c r="R310" i="1" s="1"/>
  <c r="Q1000" i="1"/>
  <c r="R1000" i="1" s="1"/>
  <c r="Q992" i="1"/>
  <c r="R992" i="1" s="1"/>
  <c r="Q984" i="1"/>
  <c r="R984" i="1" s="1"/>
  <c r="Q976" i="1"/>
  <c r="R976" i="1" s="1"/>
  <c r="Q968" i="1"/>
  <c r="R968" i="1" s="1"/>
  <c r="Q960" i="1"/>
  <c r="R960" i="1" s="1"/>
  <c r="Q952" i="1"/>
  <c r="R952" i="1" s="1"/>
  <c r="Q944" i="1"/>
  <c r="R944" i="1" s="1"/>
  <c r="Q936" i="1"/>
  <c r="R936" i="1" s="1"/>
  <c r="Q928" i="1"/>
  <c r="R928" i="1" s="1"/>
  <c r="Q920" i="1"/>
  <c r="R920" i="1" s="1"/>
  <c r="Q912" i="1"/>
  <c r="R912" i="1" s="1"/>
  <c r="Q904" i="1"/>
  <c r="R904" i="1" s="1"/>
  <c r="Q896" i="1"/>
  <c r="R896" i="1" s="1"/>
  <c r="Q888" i="1"/>
  <c r="R888" i="1" s="1"/>
  <c r="Q880" i="1"/>
  <c r="R880" i="1" s="1"/>
  <c r="Q872" i="1"/>
  <c r="R872" i="1" s="1"/>
  <c r="Q864" i="1"/>
  <c r="R864" i="1" s="1"/>
  <c r="Q856" i="1"/>
  <c r="R856" i="1" s="1"/>
  <c r="Q848" i="1"/>
  <c r="R848" i="1" s="1"/>
  <c r="Q840" i="1"/>
  <c r="R840" i="1" s="1"/>
  <c r="Q832" i="1"/>
  <c r="R832" i="1" s="1"/>
  <c r="Q824" i="1"/>
  <c r="R824" i="1" s="1"/>
  <c r="Q816" i="1"/>
  <c r="R816" i="1" s="1"/>
  <c r="Q808" i="1"/>
  <c r="R808" i="1" s="1"/>
  <c r="Q800" i="1"/>
  <c r="R800" i="1" s="1"/>
  <c r="Q792" i="1"/>
  <c r="R792" i="1" s="1"/>
  <c r="Q784" i="1"/>
  <c r="R784" i="1" s="1"/>
  <c r="Q776" i="1"/>
  <c r="R776" i="1" s="1"/>
  <c r="Q768" i="1"/>
  <c r="R768" i="1" s="1"/>
  <c r="Q760" i="1"/>
  <c r="R760" i="1" s="1"/>
  <c r="Q752" i="1"/>
  <c r="R752" i="1" s="1"/>
  <c r="Q744" i="1"/>
  <c r="R744" i="1" s="1"/>
  <c r="Q736" i="1"/>
  <c r="R736" i="1" s="1"/>
  <c r="Q728" i="1"/>
  <c r="R728" i="1" s="1"/>
  <c r="Q720" i="1"/>
  <c r="R720" i="1" s="1"/>
  <c r="Q712" i="1"/>
  <c r="R712" i="1" s="1"/>
  <c r="Q704" i="1"/>
  <c r="R704" i="1" s="1"/>
  <c r="Q696" i="1"/>
  <c r="R696" i="1" s="1"/>
  <c r="Q688" i="1"/>
  <c r="R688" i="1" s="1"/>
  <c r="Q680" i="1"/>
  <c r="R680" i="1" s="1"/>
  <c r="Q672" i="1"/>
  <c r="R672" i="1" s="1"/>
  <c r="Q664" i="1"/>
  <c r="R664" i="1" s="1"/>
  <c r="Q982" i="1"/>
  <c r="R982" i="1" s="1"/>
  <c r="Q918" i="1"/>
  <c r="R918" i="1" s="1"/>
  <c r="Q854" i="1"/>
  <c r="R854" i="1" s="1"/>
  <c r="Q782" i="1"/>
  <c r="R782" i="1" s="1"/>
  <c r="Q718" i="1"/>
  <c r="R718" i="1" s="1"/>
  <c r="Q670" i="1"/>
  <c r="R670" i="1" s="1"/>
  <c r="Q582" i="1"/>
  <c r="R582" i="1" s="1"/>
  <c r="Q494" i="1"/>
  <c r="R494" i="1" s="1"/>
  <c r="Q374" i="1"/>
  <c r="R374" i="1" s="1"/>
  <c r="Q190" i="1"/>
  <c r="R190" i="1" s="1"/>
  <c r="Q942" i="1"/>
  <c r="R942" i="1" s="1"/>
  <c r="Q862" i="1"/>
  <c r="R862" i="1" s="1"/>
  <c r="Q758" i="1"/>
  <c r="R758" i="1" s="1"/>
  <c r="Q630" i="1"/>
  <c r="R630" i="1" s="1"/>
  <c r="Q446" i="1"/>
  <c r="R446" i="1" s="1"/>
  <c r="Q102" i="1"/>
  <c r="R102" i="1" s="1"/>
  <c r="Q996" i="1"/>
  <c r="R996" i="1" s="1"/>
  <c r="Q988" i="1"/>
  <c r="R988" i="1" s="1"/>
  <c r="Q980" i="1"/>
  <c r="R980" i="1" s="1"/>
  <c r="Q836" i="1"/>
  <c r="R836" i="1" s="1"/>
  <c r="Q708" i="1"/>
  <c r="R708" i="1" s="1"/>
  <c r="Q692" i="1"/>
  <c r="R692" i="1" s="1"/>
  <c r="Q644" i="1"/>
  <c r="R644" i="1" s="1"/>
  <c r="Q628" i="1"/>
  <c r="R628" i="1" s="1"/>
  <c r="Q580" i="1"/>
  <c r="R580" i="1" s="1"/>
  <c r="Q564" i="1"/>
  <c r="R564" i="1" s="1"/>
  <c r="Q990" i="1"/>
  <c r="R990" i="1" s="1"/>
  <c r="Q958" i="1"/>
  <c r="R958" i="1" s="1"/>
  <c r="Q910" i="1"/>
  <c r="R910" i="1" s="1"/>
  <c r="Q894" i="1"/>
  <c r="R894" i="1" s="1"/>
  <c r="Q846" i="1"/>
  <c r="R846" i="1" s="1"/>
  <c r="Q814" i="1"/>
  <c r="R814" i="1" s="1"/>
  <c r="Q774" i="1"/>
  <c r="R774" i="1" s="1"/>
  <c r="Q734" i="1"/>
  <c r="R734" i="1" s="1"/>
  <c r="Q710" i="1"/>
  <c r="R710" i="1" s="1"/>
  <c r="Q686" i="1"/>
  <c r="R686" i="1" s="1"/>
  <c r="Q654" i="1"/>
  <c r="R654" i="1" s="1"/>
  <c r="Q622" i="1"/>
  <c r="R622" i="1" s="1"/>
  <c r="Q598" i="1"/>
  <c r="R598" i="1" s="1"/>
  <c r="Q566" i="1"/>
  <c r="R566" i="1" s="1"/>
  <c r="Q550" i="1"/>
  <c r="R550" i="1" s="1"/>
  <c r="Q526" i="1"/>
  <c r="R526" i="1" s="1"/>
  <c r="Q510" i="1"/>
  <c r="R510" i="1" s="1"/>
  <c r="Q486" i="1"/>
  <c r="R486" i="1" s="1"/>
  <c r="Q454" i="1"/>
  <c r="R454" i="1" s="1"/>
  <c r="Q430" i="1"/>
  <c r="R430" i="1" s="1"/>
  <c r="Q414" i="1"/>
  <c r="R414" i="1" s="1"/>
  <c r="Q390" i="1"/>
  <c r="R390" i="1" s="1"/>
  <c r="Q358" i="1"/>
  <c r="R358" i="1" s="1"/>
  <c r="Q342" i="1"/>
  <c r="R342" i="1" s="1"/>
  <c r="Q318" i="1"/>
  <c r="R318" i="1" s="1"/>
  <c r="Q294" i="1"/>
  <c r="R294" i="1" s="1"/>
  <c r="Q278" i="1"/>
  <c r="R278" i="1" s="1"/>
  <c r="Q254" i="1"/>
  <c r="R254" i="1" s="1"/>
  <c r="Q238" i="1"/>
  <c r="R238" i="1" s="1"/>
  <c r="Q214" i="1"/>
  <c r="R214" i="1" s="1"/>
  <c r="Q198" i="1"/>
  <c r="R198" i="1" s="1"/>
  <c r="Q166" i="1"/>
  <c r="R166" i="1" s="1"/>
  <c r="Q142" i="1"/>
  <c r="R142" i="1" s="1"/>
  <c r="Q126" i="1"/>
  <c r="R126" i="1" s="1"/>
  <c r="Q94" i="1"/>
  <c r="R94" i="1" s="1"/>
  <c r="Q78" i="1"/>
  <c r="R78" i="1" s="1"/>
  <c r="Q54" i="1"/>
  <c r="R54" i="1" s="1"/>
  <c r="Q30" i="1"/>
  <c r="R30" i="1" s="1"/>
  <c r="Q6" i="1"/>
  <c r="R6" i="1" s="1"/>
  <c r="Q998" i="1"/>
  <c r="R998" i="1" s="1"/>
  <c r="Q950" i="1"/>
  <c r="R950" i="1" s="1"/>
  <c r="Q902" i="1"/>
  <c r="R902" i="1" s="1"/>
  <c r="Q870" i="1"/>
  <c r="R870" i="1" s="1"/>
  <c r="Q838" i="1"/>
  <c r="R838" i="1" s="1"/>
  <c r="Q806" i="1"/>
  <c r="R806" i="1" s="1"/>
  <c r="Q766" i="1"/>
  <c r="R766" i="1" s="1"/>
  <c r="Q726" i="1"/>
  <c r="R726" i="1" s="1"/>
  <c r="Q702" i="1"/>
  <c r="R702" i="1" s="1"/>
  <c r="Q678" i="1"/>
  <c r="R678" i="1" s="1"/>
  <c r="Q646" i="1"/>
  <c r="R646" i="1" s="1"/>
  <c r="Q606" i="1"/>
  <c r="R606" i="1" s="1"/>
  <c r="Q590" i="1"/>
  <c r="R590" i="1" s="1"/>
  <c r="Q558" i="1"/>
  <c r="R558" i="1" s="1"/>
  <c r="Q534" i="1"/>
  <c r="R534" i="1" s="1"/>
  <c r="Q502" i="1"/>
  <c r="R502" i="1" s="1"/>
  <c r="Q478" i="1"/>
  <c r="R478" i="1" s="1"/>
  <c r="Q462" i="1"/>
  <c r="R462" i="1" s="1"/>
  <c r="Q422" i="1"/>
  <c r="R422" i="1" s="1"/>
  <c r="Q406" i="1"/>
  <c r="R406" i="1" s="1"/>
  <c r="Q382" i="1"/>
  <c r="R382" i="1" s="1"/>
  <c r="Q350" i="1"/>
  <c r="R350" i="1" s="1"/>
  <c r="Q326" i="1"/>
  <c r="R326" i="1" s="1"/>
  <c r="Q286" i="1"/>
  <c r="R286" i="1" s="1"/>
  <c r="Q270" i="1"/>
  <c r="R270" i="1" s="1"/>
  <c r="Q246" i="1"/>
  <c r="R246" i="1" s="1"/>
  <c r="Q230" i="1"/>
  <c r="R230" i="1" s="1"/>
  <c r="Q206" i="1"/>
  <c r="R206" i="1" s="1"/>
  <c r="Q182" i="1"/>
  <c r="R182" i="1" s="1"/>
  <c r="Q158" i="1"/>
  <c r="R158" i="1" s="1"/>
  <c r="Q134" i="1"/>
  <c r="R134" i="1" s="1"/>
  <c r="Q118" i="1"/>
  <c r="R118" i="1" s="1"/>
  <c r="Q86" i="1"/>
  <c r="R86" i="1" s="1"/>
  <c r="Q62" i="1"/>
  <c r="R62" i="1" s="1"/>
  <c r="Q46" i="1"/>
  <c r="R46" i="1" s="1"/>
  <c r="Q22" i="1"/>
  <c r="R22" i="1" s="1"/>
  <c r="O1005" i="1"/>
  <c r="O1004" i="1"/>
  <c r="O1006" i="1"/>
  <c r="Q656" i="1"/>
  <c r="R656" i="1" s="1"/>
  <c r="Q648" i="1"/>
  <c r="R648" i="1" s="1"/>
  <c r="Q640" i="1"/>
  <c r="R640" i="1" s="1"/>
  <c r="Q632" i="1"/>
  <c r="R632" i="1" s="1"/>
  <c r="Q624" i="1"/>
  <c r="R624" i="1" s="1"/>
  <c r="Q616" i="1"/>
  <c r="R616" i="1" s="1"/>
  <c r="Q608" i="1"/>
  <c r="R608" i="1" s="1"/>
  <c r="Q600" i="1"/>
  <c r="R600" i="1" s="1"/>
  <c r="Q592" i="1"/>
  <c r="R592" i="1" s="1"/>
  <c r="Q584" i="1"/>
  <c r="R584" i="1" s="1"/>
  <c r="Q576" i="1"/>
  <c r="R576" i="1" s="1"/>
  <c r="Q568" i="1"/>
  <c r="R568" i="1" s="1"/>
  <c r="Q560" i="1"/>
  <c r="R560" i="1" s="1"/>
  <c r="Q552" i="1"/>
  <c r="R552" i="1" s="1"/>
  <c r="Q544" i="1"/>
  <c r="R544" i="1" s="1"/>
  <c r="Q536" i="1"/>
  <c r="R536" i="1" s="1"/>
  <c r="Q528" i="1"/>
  <c r="R528" i="1" s="1"/>
  <c r="Q520" i="1"/>
  <c r="R520" i="1" s="1"/>
  <c r="Q512" i="1"/>
  <c r="R512" i="1" s="1"/>
  <c r="Q504" i="1"/>
  <c r="R504" i="1" s="1"/>
  <c r="Q496" i="1"/>
  <c r="R496" i="1" s="1"/>
  <c r="Q488" i="1"/>
  <c r="R488" i="1" s="1"/>
  <c r="Q480" i="1"/>
  <c r="R480" i="1" s="1"/>
  <c r="Q472" i="1"/>
  <c r="R472" i="1" s="1"/>
  <c r="Q464" i="1"/>
  <c r="R464" i="1" s="1"/>
  <c r="Q456" i="1"/>
  <c r="R456" i="1" s="1"/>
  <c r="Q448" i="1"/>
  <c r="R448" i="1" s="1"/>
  <c r="Q440" i="1"/>
  <c r="R440" i="1" s="1"/>
  <c r="Q432" i="1"/>
  <c r="R432" i="1" s="1"/>
  <c r="Q424" i="1"/>
  <c r="R424" i="1" s="1"/>
  <c r="Q416" i="1"/>
  <c r="R416" i="1" s="1"/>
  <c r="Q408" i="1"/>
  <c r="R408" i="1" s="1"/>
  <c r="Q400" i="1"/>
  <c r="R400" i="1" s="1"/>
  <c r="Q392" i="1"/>
  <c r="R392" i="1" s="1"/>
  <c r="Q384" i="1"/>
  <c r="R384" i="1" s="1"/>
  <c r="Q376" i="1"/>
  <c r="R376" i="1" s="1"/>
  <c r="Q368" i="1"/>
  <c r="R368" i="1" s="1"/>
  <c r="Q360" i="1"/>
  <c r="R360" i="1" s="1"/>
  <c r="Q352" i="1"/>
  <c r="R352" i="1" s="1"/>
  <c r="Q344" i="1"/>
  <c r="R344" i="1" s="1"/>
  <c r="Q336" i="1"/>
  <c r="R336" i="1" s="1"/>
  <c r="Q328" i="1"/>
  <c r="R328" i="1" s="1"/>
  <c r="Q320" i="1"/>
  <c r="R320" i="1" s="1"/>
  <c r="Q312" i="1"/>
  <c r="R312" i="1" s="1"/>
  <c r="Q304" i="1"/>
  <c r="R304" i="1" s="1"/>
  <c r="Q296" i="1"/>
  <c r="R296" i="1" s="1"/>
  <c r="Q288" i="1"/>
  <c r="R288" i="1" s="1"/>
  <c r="Q280" i="1"/>
  <c r="R280" i="1" s="1"/>
  <c r="Q272" i="1"/>
  <c r="R272" i="1" s="1"/>
  <c r="Q264" i="1"/>
  <c r="R264" i="1" s="1"/>
  <c r="Q256" i="1"/>
  <c r="R256" i="1" s="1"/>
  <c r="Q248" i="1"/>
  <c r="R248" i="1" s="1"/>
  <c r="Q240" i="1"/>
  <c r="R240" i="1" s="1"/>
  <c r="Q232" i="1"/>
  <c r="R232" i="1" s="1"/>
  <c r="Q224" i="1"/>
  <c r="R224" i="1" s="1"/>
  <c r="Q216" i="1"/>
  <c r="R216" i="1" s="1"/>
  <c r="Q208" i="1"/>
  <c r="R208" i="1" s="1"/>
  <c r="Q200" i="1"/>
  <c r="R200" i="1" s="1"/>
  <c r="Q192" i="1"/>
  <c r="R192" i="1" s="1"/>
  <c r="Q184" i="1"/>
  <c r="R184" i="1" s="1"/>
  <c r="Q176" i="1"/>
  <c r="R176" i="1" s="1"/>
  <c r="Q168" i="1"/>
  <c r="R168" i="1" s="1"/>
  <c r="Q160" i="1"/>
  <c r="R160" i="1" s="1"/>
  <c r="Q152" i="1"/>
  <c r="R152" i="1" s="1"/>
  <c r="Q144" i="1"/>
  <c r="R144" i="1" s="1"/>
  <c r="Q136" i="1"/>
  <c r="R136" i="1" s="1"/>
  <c r="Q128" i="1"/>
  <c r="R128" i="1" s="1"/>
  <c r="Q120" i="1"/>
  <c r="R120" i="1" s="1"/>
  <c r="Q112" i="1"/>
  <c r="R112" i="1" s="1"/>
  <c r="Q104" i="1"/>
  <c r="R104" i="1" s="1"/>
  <c r="Q96" i="1"/>
  <c r="R96" i="1" s="1"/>
  <c r="Q88" i="1"/>
  <c r="R88" i="1" s="1"/>
  <c r="Q80" i="1"/>
  <c r="R80" i="1" s="1"/>
  <c r="Q72" i="1"/>
  <c r="R72" i="1" s="1"/>
  <c r="Q64" i="1"/>
  <c r="R64" i="1" s="1"/>
  <c r="Q56" i="1"/>
  <c r="R56" i="1" s="1"/>
  <c r="Q48" i="1"/>
  <c r="R48" i="1" s="1"/>
  <c r="Q40" i="1"/>
  <c r="R40" i="1" s="1"/>
  <c r="Q32" i="1"/>
  <c r="R32" i="1" s="1"/>
  <c r="Q24" i="1"/>
  <c r="R24" i="1" s="1"/>
  <c r="Q16" i="1"/>
  <c r="R16" i="1" s="1"/>
  <c r="Q8" i="1"/>
  <c r="R8" i="1" s="1"/>
  <c r="Q855" i="1"/>
  <c r="R855" i="1" s="1"/>
  <c r="Q807" i="1"/>
  <c r="R807" i="1" s="1"/>
  <c r="Q791" i="1"/>
  <c r="R791" i="1" s="1"/>
  <c r="Q751" i="1"/>
  <c r="R751" i="1" s="1"/>
  <c r="Q997" i="1"/>
  <c r="R997" i="1" s="1"/>
  <c r="Q989" i="1"/>
  <c r="R989" i="1" s="1"/>
  <c r="Q981" i="1"/>
  <c r="R981" i="1" s="1"/>
  <c r="Q973" i="1"/>
  <c r="R973" i="1" s="1"/>
  <c r="Q965" i="1"/>
  <c r="R965" i="1" s="1"/>
  <c r="Q957" i="1"/>
  <c r="R957" i="1" s="1"/>
  <c r="Q949" i="1"/>
  <c r="R949" i="1" s="1"/>
  <c r="Q941" i="1"/>
  <c r="R941" i="1" s="1"/>
  <c r="Q933" i="1"/>
  <c r="R933" i="1" s="1"/>
  <c r="Q925" i="1"/>
  <c r="R925" i="1" s="1"/>
  <c r="Q917" i="1"/>
  <c r="R917" i="1" s="1"/>
  <c r="Q909" i="1"/>
  <c r="R909" i="1" s="1"/>
  <c r="Q901" i="1"/>
  <c r="R901" i="1" s="1"/>
  <c r="Q893" i="1"/>
  <c r="R893" i="1" s="1"/>
  <c r="Q885" i="1"/>
  <c r="R885" i="1" s="1"/>
  <c r="Q877" i="1"/>
  <c r="R877" i="1" s="1"/>
  <c r="Q869" i="1"/>
  <c r="R869" i="1" s="1"/>
  <c r="Q861" i="1"/>
  <c r="R861" i="1" s="1"/>
  <c r="Q853" i="1"/>
  <c r="R853" i="1" s="1"/>
  <c r="Q845" i="1"/>
  <c r="R845" i="1" s="1"/>
  <c r="Q837" i="1"/>
  <c r="R837" i="1" s="1"/>
  <c r="Q829" i="1"/>
  <c r="R829" i="1" s="1"/>
  <c r="Q821" i="1"/>
  <c r="R821" i="1" s="1"/>
  <c r="Q813" i="1"/>
  <c r="R813" i="1" s="1"/>
  <c r="Q805" i="1"/>
  <c r="R805" i="1" s="1"/>
  <c r="Q797" i="1"/>
  <c r="R797" i="1" s="1"/>
  <c r="Q789" i="1"/>
  <c r="R789" i="1" s="1"/>
  <c r="Q781" i="1"/>
  <c r="R781" i="1" s="1"/>
  <c r="Q773" i="1"/>
  <c r="R773" i="1" s="1"/>
  <c r="Q765" i="1"/>
  <c r="R765" i="1" s="1"/>
  <c r="Q757" i="1"/>
  <c r="R757" i="1" s="1"/>
  <c r="Q749" i="1"/>
  <c r="R749" i="1" s="1"/>
  <c r="Q741" i="1"/>
  <c r="R741" i="1" s="1"/>
  <c r="Q733" i="1"/>
  <c r="R733" i="1" s="1"/>
  <c r="Q725" i="1"/>
  <c r="R725" i="1" s="1"/>
  <c r="Q972" i="1"/>
  <c r="R972" i="1" s="1"/>
  <c r="Q964" i="1"/>
  <c r="R964" i="1" s="1"/>
  <c r="Q956" i="1"/>
  <c r="R956" i="1" s="1"/>
  <c r="Q948" i="1"/>
  <c r="R948" i="1" s="1"/>
  <c r="Q940" i="1"/>
  <c r="R940" i="1" s="1"/>
  <c r="Q932" i="1"/>
  <c r="R932" i="1" s="1"/>
  <c r="Q924" i="1"/>
  <c r="R924" i="1" s="1"/>
  <c r="Q916" i="1"/>
  <c r="R916" i="1" s="1"/>
  <c r="Q908" i="1"/>
  <c r="R908" i="1" s="1"/>
  <c r="Q900" i="1"/>
  <c r="R900" i="1" s="1"/>
  <c r="Q892" i="1"/>
  <c r="R892" i="1" s="1"/>
  <c r="Q884" i="1"/>
  <c r="R884" i="1" s="1"/>
  <c r="Q876" i="1"/>
  <c r="R876" i="1" s="1"/>
  <c r="Q868" i="1"/>
  <c r="R868" i="1" s="1"/>
  <c r="Q860" i="1"/>
  <c r="R860" i="1" s="1"/>
  <c r="Q852" i="1"/>
  <c r="R852" i="1" s="1"/>
  <c r="Q844" i="1"/>
  <c r="R844" i="1" s="1"/>
  <c r="Q828" i="1"/>
  <c r="R828" i="1" s="1"/>
  <c r="Q820" i="1"/>
  <c r="R820" i="1" s="1"/>
  <c r="Q812" i="1"/>
  <c r="R812" i="1" s="1"/>
  <c r="Q804" i="1"/>
  <c r="R804" i="1" s="1"/>
  <c r="Q796" i="1"/>
  <c r="R796" i="1" s="1"/>
  <c r="Q788" i="1"/>
  <c r="R788" i="1" s="1"/>
  <c r="Q780" i="1"/>
  <c r="R780" i="1" s="1"/>
  <c r="Q772" i="1"/>
  <c r="R772" i="1" s="1"/>
  <c r="Q764" i="1"/>
  <c r="R764" i="1" s="1"/>
  <c r="Q756" i="1"/>
  <c r="R756" i="1" s="1"/>
  <c r="Q748" i="1"/>
  <c r="R748" i="1" s="1"/>
  <c r="Q740" i="1"/>
  <c r="R740" i="1" s="1"/>
  <c r="Q732" i="1"/>
  <c r="R732" i="1" s="1"/>
  <c r="Q724" i="1"/>
  <c r="R724" i="1" s="1"/>
  <c r="Q716" i="1"/>
  <c r="R716" i="1" s="1"/>
  <c r="Q700" i="1"/>
  <c r="R700" i="1" s="1"/>
  <c r="Q684" i="1"/>
  <c r="R684" i="1" s="1"/>
  <c r="Q676" i="1"/>
  <c r="R676" i="1" s="1"/>
  <c r="Q668" i="1"/>
  <c r="R668" i="1" s="1"/>
  <c r="Q660" i="1"/>
  <c r="R660" i="1" s="1"/>
  <c r="Q652" i="1"/>
  <c r="R652" i="1" s="1"/>
  <c r="Q636" i="1"/>
  <c r="R636" i="1" s="1"/>
  <c r="Q620" i="1"/>
  <c r="R620" i="1" s="1"/>
  <c r="Q612" i="1"/>
  <c r="R612" i="1" s="1"/>
  <c r="Q604" i="1"/>
  <c r="R604" i="1" s="1"/>
  <c r="Q596" i="1"/>
  <c r="R596" i="1" s="1"/>
  <c r="Q588" i="1"/>
  <c r="R588" i="1" s="1"/>
  <c r="Q572" i="1"/>
  <c r="R572" i="1" s="1"/>
  <c r="Q556" i="1"/>
  <c r="R556" i="1" s="1"/>
  <c r="Q548" i="1"/>
  <c r="R548" i="1" s="1"/>
  <c r="Q540" i="1"/>
  <c r="R540" i="1" s="1"/>
  <c r="Q532" i="1"/>
  <c r="R532" i="1" s="1"/>
  <c r="Q524" i="1"/>
  <c r="R524" i="1" s="1"/>
  <c r="Q516" i="1"/>
  <c r="R516" i="1" s="1"/>
  <c r="Q484" i="1"/>
  <c r="R484" i="1" s="1"/>
  <c r="Q995" i="1"/>
  <c r="R995" i="1" s="1"/>
  <c r="Q987" i="1"/>
  <c r="R987" i="1" s="1"/>
  <c r="Q979" i="1"/>
  <c r="R979" i="1" s="1"/>
  <c r="Q843" i="1"/>
  <c r="R843" i="1" s="1"/>
  <c r="Q827" i="1"/>
  <c r="R827" i="1" s="1"/>
  <c r="Q779" i="1"/>
  <c r="R779" i="1" s="1"/>
  <c r="Q763" i="1"/>
  <c r="R763" i="1" s="1"/>
  <c r="P1005" i="1"/>
  <c r="P1004" i="1"/>
  <c r="P1006" i="1"/>
  <c r="Q2" i="1"/>
  <c r="Q994" i="1"/>
  <c r="R994" i="1" s="1"/>
  <c r="Q986" i="1"/>
  <c r="R986" i="1" s="1"/>
  <c r="Q978" i="1"/>
  <c r="R978" i="1" s="1"/>
  <c r="Q970" i="1"/>
  <c r="R970" i="1" s="1"/>
  <c r="Q962" i="1"/>
  <c r="R962" i="1" s="1"/>
  <c r="Q954" i="1"/>
  <c r="R954" i="1" s="1"/>
  <c r="Q946" i="1"/>
  <c r="R946" i="1" s="1"/>
  <c r="Q938" i="1"/>
  <c r="R938" i="1" s="1"/>
  <c r="Q930" i="1"/>
  <c r="R930" i="1" s="1"/>
  <c r="Q922" i="1"/>
  <c r="R922" i="1" s="1"/>
  <c r="Q914" i="1"/>
  <c r="R914" i="1" s="1"/>
  <c r="Q906" i="1"/>
  <c r="R906" i="1" s="1"/>
  <c r="Q898" i="1"/>
  <c r="R898" i="1" s="1"/>
  <c r="Q890" i="1"/>
  <c r="R890" i="1" s="1"/>
  <c r="Q882" i="1"/>
  <c r="R882" i="1" s="1"/>
  <c r="Q874" i="1"/>
  <c r="R874" i="1" s="1"/>
  <c r="Q866" i="1"/>
  <c r="R866" i="1" s="1"/>
  <c r="Q858" i="1"/>
  <c r="R858" i="1" s="1"/>
  <c r="Q850" i="1"/>
  <c r="R850" i="1" s="1"/>
  <c r="Q842" i="1"/>
  <c r="R842" i="1" s="1"/>
  <c r="Q834" i="1"/>
  <c r="R834" i="1" s="1"/>
  <c r="Q826" i="1"/>
  <c r="R826" i="1" s="1"/>
  <c r="Q818" i="1"/>
  <c r="R818" i="1" s="1"/>
  <c r="Q810" i="1"/>
  <c r="R810" i="1" s="1"/>
  <c r="Q802" i="1"/>
  <c r="R802" i="1" s="1"/>
  <c r="Q794" i="1"/>
  <c r="R794" i="1" s="1"/>
  <c r="Q786" i="1"/>
  <c r="R786" i="1" s="1"/>
  <c r="Q738" i="1"/>
  <c r="R738" i="1" s="1"/>
  <c r="Q722" i="1"/>
  <c r="R722" i="1" s="1"/>
  <c r="Q706" i="1"/>
  <c r="R706" i="1" s="1"/>
  <c r="Q690" i="1"/>
  <c r="R690" i="1" s="1"/>
  <c r="Q674" i="1"/>
  <c r="R674" i="1" s="1"/>
  <c r="Q658" i="1"/>
  <c r="R658" i="1" s="1"/>
  <c r="Q642" i="1"/>
  <c r="R642" i="1" s="1"/>
  <c r="Q626" i="1"/>
  <c r="R626" i="1" s="1"/>
  <c r="Q610" i="1"/>
  <c r="R610" i="1" s="1"/>
  <c r="Q594" i="1"/>
  <c r="R594" i="1" s="1"/>
  <c r="Q578" i="1"/>
  <c r="R578" i="1" s="1"/>
  <c r="Q562" i="1"/>
  <c r="R562" i="1" s="1"/>
  <c r="Q546" i="1"/>
  <c r="R546" i="1" s="1"/>
  <c r="Q1001" i="1"/>
  <c r="R1001" i="1" s="1"/>
  <c r="Q993" i="1"/>
  <c r="R993" i="1" s="1"/>
  <c r="Q985" i="1"/>
  <c r="R985" i="1" s="1"/>
  <c r="Q977" i="1"/>
  <c r="R977" i="1" s="1"/>
  <c r="Q969" i="1"/>
  <c r="R969" i="1" s="1"/>
  <c r="Q961" i="1"/>
  <c r="R961" i="1" s="1"/>
  <c r="Q953" i="1"/>
  <c r="R953" i="1" s="1"/>
  <c r="Q945" i="1"/>
  <c r="R945" i="1" s="1"/>
  <c r="Q937" i="1"/>
  <c r="R937" i="1" s="1"/>
  <c r="Q929" i="1"/>
  <c r="R929" i="1" s="1"/>
  <c r="Q921" i="1"/>
  <c r="R921" i="1" s="1"/>
  <c r="Q913" i="1"/>
  <c r="R913" i="1" s="1"/>
  <c r="Q905" i="1"/>
  <c r="R905" i="1" s="1"/>
  <c r="Q897" i="1"/>
  <c r="R897" i="1" s="1"/>
  <c r="Q889" i="1"/>
  <c r="R889" i="1" s="1"/>
  <c r="Q881" i="1"/>
  <c r="R881" i="1" s="1"/>
  <c r="Q873" i="1"/>
  <c r="R873" i="1" s="1"/>
  <c r="Q865" i="1"/>
  <c r="R865" i="1" s="1"/>
  <c r="Q857" i="1"/>
  <c r="R857" i="1" s="1"/>
  <c r="Q849" i="1"/>
  <c r="R849" i="1" s="1"/>
  <c r="Q841" i="1"/>
  <c r="R841" i="1" s="1"/>
  <c r="Q833" i="1"/>
  <c r="R833" i="1" s="1"/>
  <c r="Q825" i="1"/>
  <c r="R825" i="1" s="1"/>
  <c r="Q817" i="1"/>
  <c r="R817" i="1" s="1"/>
  <c r="Q801" i="1"/>
  <c r="R801" i="1" s="1"/>
  <c r="Q793" i="1"/>
  <c r="R793" i="1" s="1"/>
  <c r="Q785" i="1"/>
  <c r="R785" i="1" s="1"/>
  <c r="Q777" i="1"/>
  <c r="R777" i="1" s="1"/>
  <c r="Q769" i="1"/>
  <c r="R769" i="1" s="1"/>
  <c r="Q761" i="1"/>
  <c r="R761" i="1" s="1"/>
  <c r="Q753" i="1"/>
  <c r="R753" i="1" s="1"/>
  <c r="Q745" i="1"/>
  <c r="R745" i="1" s="1"/>
  <c r="Q737" i="1"/>
  <c r="R737" i="1" s="1"/>
  <c r="Q729" i="1"/>
  <c r="R729" i="1" s="1"/>
  <c r="Q999" i="1"/>
  <c r="R999" i="1" s="1"/>
  <c r="Q991" i="1"/>
  <c r="R991" i="1" s="1"/>
  <c r="Q983" i="1"/>
  <c r="R983" i="1" s="1"/>
  <c r="Q975" i="1"/>
  <c r="R975" i="1" s="1"/>
  <c r="Q967" i="1"/>
  <c r="R967" i="1" s="1"/>
  <c r="Q959" i="1"/>
  <c r="R959" i="1" s="1"/>
  <c r="Q951" i="1"/>
  <c r="R951" i="1" s="1"/>
  <c r="Q943" i="1"/>
  <c r="R943" i="1" s="1"/>
  <c r="Q935" i="1"/>
  <c r="R935" i="1" s="1"/>
  <c r="Q927" i="1"/>
  <c r="R927" i="1" s="1"/>
  <c r="Q919" i="1"/>
  <c r="R919" i="1" s="1"/>
  <c r="Q911" i="1"/>
  <c r="R911" i="1" s="1"/>
  <c r="Q903" i="1"/>
  <c r="R903" i="1" s="1"/>
  <c r="Q895" i="1"/>
  <c r="R895" i="1" s="1"/>
  <c r="Q887" i="1"/>
  <c r="R887" i="1" s="1"/>
  <c r="Q879" i="1"/>
  <c r="R879" i="1" s="1"/>
  <c r="Q871" i="1"/>
  <c r="R871" i="1" s="1"/>
  <c r="Q863" i="1"/>
  <c r="R863" i="1" s="1"/>
  <c r="Q847" i="1"/>
  <c r="R847" i="1" s="1"/>
  <c r="Q839" i="1"/>
  <c r="R839" i="1" s="1"/>
  <c r="Q831" i="1"/>
  <c r="R831" i="1" s="1"/>
  <c r="Q823" i="1"/>
  <c r="R823" i="1" s="1"/>
  <c r="Q815" i="1"/>
  <c r="R815" i="1" s="1"/>
  <c r="Q799" i="1"/>
  <c r="R799" i="1" s="1"/>
  <c r="Q783" i="1"/>
  <c r="R783" i="1" s="1"/>
  <c r="Q775" i="1"/>
  <c r="R775" i="1" s="1"/>
  <c r="Q759" i="1"/>
  <c r="R759" i="1" s="1"/>
  <c r="Q743" i="1"/>
  <c r="R743" i="1" s="1"/>
  <c r="Q735" i="1"/>
  <c r="R735" i="1" s="1"/>
  <c r="Q727" i="1"/>
  <c r="R727" i="1" s="1"/>
  <c r="Q719" i="1"/>
  <c r="R719" i="1" s="1"/>
  <c r="Q711" i="1"/>
  <c r="R711" i="1" s="1"/>
  <c r="Q703" i="1"/>
  <c r="R703" i="1" s="1"/>
  <c r="Q695" i="1"/>
  <c r="R695" i="1" s="1"/>
  <c r="Q687" i="1"/>
  <c r="R687" i="1" s="1"/>
  <c r="Q679" i="1"/>
  <c r="R679" i="1" s="1"/>
  <c r="Q671" i="1"/>
  <c r="R671" i="1" s="1"/>
  <c r="Q663" i="1"/>
  <c r="R663" i="1" s="1"/>
  <c r="Q655" i="1"/>
  <c r="R655" i="1" s="1"/>
  <c r="Q647" i="1"/>
  <c r="R647" i="1" s="1"/>
  <c r="Q639" i="1"/>
  <c r="R639" i="1" s="1"/>
  <c r="Q631" i="1"/>
  <c r="R631" i="1" s="1"/>
  <c r="Q623" i="1"/>
  <c r="R623" i="1" s="1"/>
  <c r="Q615" i="1"/>
  <c r="R615" i="1" s="1"/>
  <c r="Q607" i="1"/>
  <c r="R607" i="1" s="1"/>
  <c r="Q599" i="1"/>
  <c r="R599" i="1" s="1"/>
  <c r="Q591" i="1"/>
  <c r="R591" i="1" s="1"/>
  <c r="Q583" i="1"/>
  <c r="R583" i="1" s="1"/>
  <c r="Q575" i="1"/>
  <c r="R575" i="1" s="1"/>
  <c r="Q567" i="1"/>
  <c r="R567" i="1" s="1"/>
  <c r="Q559" i="1"/>
  <c r="R559" i="1" s="1"/>
  <c r="Q551" i="1"/>
  <c r="R551" i="1" s="1"/>
  <c r="Q543" i="1"/>
  <c r="R543" i="1" s="1"/>
  <c r="Q535" i="1"/>
  <c r="R535" i="1" s="1"/>
  <c r="Q527" i="1"/>
  <c r="R527" i="1" s="1"/>
  <c r="Q519" i="1"/>
  <c r="R519" i="1" s="1"/>
  <c r="Q511" i="1"/>
  <c r="R511" i="1" s="1"/>
  <c r="Q503" i="1"/>
  <c r="R503" i="1" s="1"/>
  <c r="Q495" i="1"/>
  <c r="R495" i="1" s="1"/>
  <c r="Q487" i="1"/>
  <c r="R487" i="1" s="1"/>
  <c r="Q479" i="1"/>
  <c r="R479" i="1" s="1"/>
  <c r="Q471" i="1"/>
  <c r="R471" i="1" s="1"/>
  <c r="Q463" i="1"/>
  <c r="R463" i="1" s="1"/>
  <c r="Q455" i="1"/>
  <c r="R455" i="1" s="1"/>
  <c r="Q447" i="1"/>
  <c r="R447" i="1" s="1"/>
  <c r="Q439" i="1"/>
  <c r="R439" i="1" s="1"/>
  <c r="Q431" i="1"/>
  <c r="R431" i="1" s="1"/>
  <c r="Q423" i="1"/>
  <c r="R423" i="1" s="1"/>
  <c r="Q415" i="1"/>
  <c r="R415" i="1" s="1"/>
  <c r="Q407" i="1"/>
  <c r="R407" i="1" s="1"/>
  <c r="Q399" i="1"/>
  <c r="R399" i="1" s="1"/>
  <c r="Q391" i="1"/>
  <c r="R391" i="1" s="1"/>
  <c r="Q717" i="1"/>
  <c r="R717" i="1" s="1"/>
  <c r="Q709" i="1"/>
  <c r="R709" i="1" s="1"/>
  <c r="Q701" i="1"/>
  <c r="R701" i="1" s="1"/>
  <c r="Q693" i="1"/>
  <c r="R693" i="1" s="1"/>
  <c r="Q685" i="1"/>
  <c r="R685" i="1" s="1"/>
  <c r="Q677" i="1"/>
  <c r="R677" i="1" s="1"/>
  <c r="Q669" i="1"/>
  <c r="R669" i="1" s="1"/>
  <c r="Q661" i="1"/>
  <c r="R661" i="1" s="1"/>
  <c r="Q653" i="1"/>
  <c r="R653" i="1" s="1"/>
  <c r="Q645" i="1"/>
  <c r="R645" i="1" s="1"/>
  <c r="Q637" i="1"/>
  <c r="R637" i="1" s="1"/>
  <c r="Q629" i="1"/>
  <c r="R629" i="1" s="1"/>
  <c r="Q621" i="1"/>
  <c r="R621" i="1" s="1"/>
  <c r="Q613" i="1"/>
  <c r="R613" i="1" s="1"/>
  <c r="Q605" i="1"/>
  <c r="R605" i="1" s="1"/>
  <c r="Q597" i="1"/>
  <c r="R597" i="1" s="1"/>
  <c r="Q589" i="1"/>
  <c r="R589" i="1" s="1"/>
  <c r="Q581" i="1"/>
  <c r="R581" i="1" s="1"/>
  <c r="Q573" i="1"/>
  <c r="R573" i="1" s="1"/>
  <c r="Q565" i="1"/>
  <c r="R565" i="1" s="1"/>
  <c r="Q557" i="1"/>
  <c r="R557" i="1" s="1"/>
  <c r="Q549" i="1"/>
  <c r="R549" i="1" s="1"/>
  <c r="Q541" i="1"/>
  <c r="R541" i="1" s="1"/>
  <c r="Q533" i="1"/>
  <c r="R533" i="1" s="1"/>
  <c r="Q525" i="1"/>
  <c r="R525" i="1" s="1"/>
  <c r="Q517" i="1"/>
  <c r="R517" i="1" s="1"/>
  <c r="Q509" i="1"/>
  <c r="R509" i="1" s="1"/>
  <c r="Q501" i="1"/>
  <c r="R501" i="1" s="1"/>
  <c r="Q493" i="1"/>
  <c r="R493" i="1" s="1"/>
  <c r="Q485" i="1"/>
  <c r="R485" i="1" s="1"/>
  <c r="Q477" i="1"/>
  <c r="R477" i="1" s="1"/>
  <c r="Q469" i="1"/>
  <c r="R469" i="1" s="1"/>
  <c r="Q461" i="1"/>
  <c r="R461" i="1" s="1"/>
  <c r="Q453" i="1"/>
  <c r="R453" i="1" s="1"/>
  <c r="Q445" i="1"/>
  <c r="R445" i="1" s="1"/>
  <c r="Q437" i="1"/>
  <c r="R437" i="1" s="1"/>
  <c r="Q429" i="1"/>
  <c r="R429" i="1" s="1"/>
  <c r="Q421" i="1"/>
  <c r="R421" i="1" s="1"/>
  <c r="Q413" i="1"/>
  <c r="R413" i="1" s="1"/>
  <c r="Q405" i="1"/>
  <c r="R405" i="1" s="1"/>
  <c r="Q397" i="1"/>
  <c r="R397" i="1" s="1"/>
  <c r="Q389" i="1"/>
  <c r="R389" i="1" s="1"/>
  <c r="Q381" i="1"/>
  <c r="R381" i="1" s="1"/>
  <c r="Q373" i="1"/>
  <c r="R373" i="1" s="1"/>
  <c r="Q365" i="1"/>
  <c r="R365" i="1" s="1"/>
  <c r="Q357" i="1"/>
  <c r="R357" i="1" s="1"/>
  <c r="Q349" i="1"/>
  <c r="R349" i="1" s="1"/>
  <c r="Q341" i="1"/>
  <c r="R341" i="1" s="1"/>
  <c r="Q333" i="1"/>
  <c r="R333" i="1" s="1"/>
  <c r="Q325" i="1"/>
  <c r="R325" i="1" s="1"/>
  <c r="Q317" i="1"/>
  <c r="R317" i="1" s="1"/>
  <c r="Q309" i="1"/>
  <c r="R309" i="1" s="1"/>
  <c r="Q301" i="1"/>
  <c r="R301" i="1" s="1"/>
  <c r="Q293" i="1"/>
  <c r="R293" i="1" s="1"/>
  <c r="Q285" i="1"/>
  <c r="R285" i="1" s="1"/>
  <c r="Q277" i="1"/>
  <c r="R277" i="1" s="1"/>
  <c r="Q269" i="1"/>
  <c r="R269" i="1" s="1"/>
  <c r="Q261" i="1"/>
  <c r="R261" i="1" s="1"/>
  <c r="Q253" i="1"/>
  <c r="R253" i="1" s="1"/>
  <c r="Q245" i="1"/>
  <c r="R245" i="1" s="1"/>
  <c r="Q237" i="1"/>
  <c r="R237" i="1" s="1"/>
  <c r="Q229" i="1"/>
  <c r="R229" i="1" s="1"/>
  <c r="Q221" i="1"/>
  <c r="R221" i="1" s="1"/>
  <c r="Q213" i="1"/>
  <c r="R213" i="1" s="1"/>
  <c r="Q205" i="1"/>
  <c r="R205" i="1" s="1"/>
  <c r="Q197" i="1"/>
  <c r="R197" i="1" s="1"/>
  <c r="Q189" i="1"/>
  <c r="R189" i="1" s="1"/>
  <c r="Q181" i="1"/>
  <c r="R181" i="1" s="1"/>
  <c r="Q173" i="1"/>
  <c r="R173" i="1" s="1"/>
  <c r="Q165" i="1"/>
  <c r="R165" i="1" s="1"/>
  <c r="Q157" i="1"/>
  <c r="R157" i="1" s="1"/>
  <c r="Q149" i="1"/>
  <c r="R149" i="1" s="1"/>
  <c r="Q141" i="1"/>
  <c r="R141" i="1" s="1"/>
  <c r="Q133" i="1"/>
  <c r="R133" i="1" s="1"/>
  <c r="Q125" i="1"/>
  <c r="R125" i="1" s="1"/>
  <c r="Q117" i="1"/>
  <c r="R117" i="1" s="1"/>
  <c r="Q508" i="1"/>
  <c r="R508" i="1" s="1"/>
  <c r="Q500" i="1"/>
  <c r="R500" i="1" s="1"/>
  <c r="Q476" i="1"/>
  <c r="R476" i="1" s="1"/>
  <c r="Q468" i="1"/>
  <c r="R468" i="1" s="1"/>
  <c r="Q444" i="1"/>
  <c r="R444" i="1" s="1"/>
  <c r="Q436" i="1"/>
  <c r="R436" i="1" s="1"/>
  <c r="Q412" i="1"/>
  <c r="R412" i="1" s="1"/>
  <c r="Q404" i="1"/>
  <c r="R404" i="1" s="1"/>
  <c r="Q380" i="1"/>
  <c r="R380" i="1" s="1"/>
  <c r="Q372" i="1"/>
  <c r="R372" i="1" s="1"/>
  <c r="Q348" i="1"/>
  <c r="R348" i="1" s="1"/>
  <c r="Q340" i="1"/>
  <c r="R340" i="1" s="1"/>
  <c r="Q316" i="1"/>
  <c r="R316" i="1" s="1"/>
  <c r="Q308" i="1"/>
  <c r="R308" i="1" s="1"/>
  <c r="Q284" i="1"/>
  <c r="R284" i="1" s="1"/>
  <c r="Q276" i="1"/>
  <c r="R276" i="1" s="1"/>
  <c r="Q252" i="1"/>
  <c r="R252" i="1" s="1"/>
  <c r="Q244" i="1"/>
  <c r="R244" i="1" s="1"/>
  <c r="Q220" i="1"/>
  <c r="R220" i="1" s="1"/>
  <c r="Q212" i="1"/>
  <c r="R212" i="1" s="1"/>
  <c r="Q971" i="1"/>
  <c r="R971" i="1" s="1"/>
  <c r="Q963" i="1"/>
  <c r="R963" i="1" s="1"/>
  <c r="Q955" i="1"/>
  <c r="R955" i="1" s="1"/>
  <c r="Q947" i="1"/>
  <c r="R947" i="1" s="1"/>
  <c r="Q939" i="1"/>
  <c r="R939" i="1" s="1"/>
  <c r="Q931" i="1"/>
  <c r="R931" i="1" s="1"/>
  <c r="Q923" i="1"/>
  <c r="R923" i="1" s="1"/>
  <c r="Q915" i="1"/>
  <c r="R915" i="1" s="1"/>
  <c r="Q907" i="1"/>
  <c r="R907" i="1" s="1"/>
  <c r="Q899" i="1"/>
  <c r="R899" i="1" s="1"/>
  <c r="Q891" i="1"/>
  <c r="R891" i="1" s="1"/>
  <c r="Q883" i="1"/>
  <c r="R883" i="1" s="1"/>
  <c r="Q875" i="1"/>
  <c r="R875" i="1" s="1"/>
  <c r="Q867" i="1"/>
  <c r="R867" i="1" s="1"/>
  <c r="Q859" i="1"/>
  <c r="R859" i="1" s="1"/>
  <c r="Q851" i="1"/>
  <c r="R851" i="1" s="1"/>
  <c r="Q835" i="1"/>
  <c r="R835" i="1" s="1"/>
  <c r="Q819" i="1"/>
  <c r="R819" i="1" s="1"/>
  <c r="Q811" i="1"/>
  <c r="R811" i="1" s="1"/>
  <c r="Q803" i="1"/>
  <c r="R803" i="1" s="1"/>
  <c r="Q795" i="1"/>
  <c r="R795" i="1" s="1"/>
  <c r="Q787" i="1"/>
  <c r="R787" i="1" s="1"/>
  <c r="Q771" i="1"/>
  <c r="R771" i="1" s="1"/>
  <c r="Q755" i="1"/>
  <c r="R755" i="1" s="1"/>
  <c r="Q747" i="1"/>
  <c r="R747" i="1" s="1"/>
  <c r="Q739" i="1"/>
  <c r="R739" i="1" s="1"/>
  <c r="Q731" i="1"/>
  <c r="R731" i="1" s="1"/>
  <c r="Q723" i="1"/>
  <c r="R723" i="1" s="1"/>
  <c r="Q715" i="1"/>
  <c r="R715" i="1" s="1"/>
  <c r="Q707" i="1"/>
  <c r="R707" i="1" s="1"/>
  <c r="Q699" i="1"/>
  <c r="R699" i="1" s="1"/>
  <c r="Q691" i="1"/>
  <c r="R691" i="1" s="1"/>
  <c r="Q683" i="1"/>
  <c r="R683" i="1" s="1"/>
  <c r="Q675" i="1"/>
  <c r="R675" i="1" s="1"/>
  <c r="Q667" i="1"/>
  <c r="R667" i="1" s="1"/>
  <c r="Q659" i="1"/>
  <c r="R659" i="1" s="1"/>
  <c r="Q651" i="1"/>
  <c r="R651" i="1" s="1"/>
  <c r="Q643" i="1"/>
  <c r="R643" i="1" s="1"/>
  <c r="Q635" i="1"/>
  <c r="R635" i="1" s="1"/>
  <c r="Q627" i="1"/>
  <c r="R627" i="1" s="1"/>
  <c r="Q619" i="1"/>
  <c r="R619" i="1" s="1"/>
  <c r="Q611" i="1"/>
  <c r="R611" i="1" s="1"/>
  <c r="Q603" i="1"/>
  <c r="R603" i="1" s="1"/>
  <c r="Q595" i="1"/>
  <c r="R595" i="1" s="1"/>
  <c r="Q587" i="1"/>
  <c r="R587" i="1" s="1"/>
  <c r="Q579" i="1"/>
  <c r="R579" i="1" s="1"/>
  <c r="Q571" i="1"/>
  <c r="R571" i="1" s="1"/>
  <c r="Q563" i="1"/>
  <c r="R563" i="1" s="1"/>
  <c r="Q555" i="1"/>
  <c r="R555" i="1" s="1"/>
  <c r="Q547" i="1"/>
  <c r="R547" i="1" s="1"/>
  <c r="Q539" i="1"/>
  <c r="R539" i="1" s="1"/>
  <c r="Q531" i="1"/>
  <c r="R531" i="1" s="1"/>
  <c r="Q523" i="1"/>
  <c r="R523" i="1" s="1"/>
  <c r="Q515" i="1"/>
  <c r="R515" i="1" s="1"/>
  <c r="Q507" i="1"/>
  <c r="R507" i="1" s="1"/>
  <c r="Q499" i="1"/>
  <c r="R499" i="1" s="1"/>
  <c r="Q491" i="1"/>
  <c r="R491" i="1" s="1"/>
  <c r="Q483" i="1"/>
  <c r="R483" i="1" s="1"/>
  <c r="Q475" i="1"/>
  <c r="R475" i="1" s="1"/>
  <c r="Q467" i="1"/>
  <c r="R467" i="1" s="1"/>
  <c r="Q459" i="1"/>
  <c r="R459" i="1" s="1"/>
  <c r="Q451" i="1"/>
  <c r="R451" i="1" s="1"/>
  <c r="Q443" i="1"/>
  <c r="R443" i="1" s="1"/>
  <c r="Q435" i="1"/>
  <c r="R435" i="1" s="1"/>
  <c r="Q427" i="1"/>
  <c r="R427" i="1" s="1"/>
  <c r="Q419" i="1"/>
  <c r="R419" i="1" s="1"/>
  <c r="Q411" i="1"/>
  <c r="R411" i="1" s="1"/>
  <c r="Q403" i="1"/>
  <c r="R403" i="1" s="1"/>
  <c r="Q395" i="1"/>
  <c r="R395" i="1" s="1"/>
  <c r="Q387" i="1"/>
  <c r="R387" i="1" s="1"/>
  <c r="Q379" i="1"/>
  <c r="R379" i="1" s="1"/>
  <c r="Q371" i="1"/>
  <c r="R371" i="1" s="1"/>
  <c r="Q363" i="1"/>
  <c r="R363" i="1" s="1"/>
  <c r="Q355" i="1"/>
  <c r="R355" i="1" s="1"/>
  <c r="Q347" i="1"/>
  <c r="R347" i="1" s="1"/>
  <c r="Q339" i="1"/>
  <c r="R339" i="1" s="1"/>
  <c r="Q331" i="1"/>
  <c r="R331" i="1" s="1"/>
  <c r="Q323" i="1"/>
  <c r="R323" i="1" s="1"/>
  <c r="Q315" i="1"/>
  <c r="R315" i="1" s="1"/>
  <c r="Q307" i="1"/>
  <c r="R307" i="1" s="1"/>
  <c r="Q299" i="1"/>
  <c r="R299" i="1" s="1"/>
  <c r="Q291" i="1"/>
  <c r="R291" i="1" s="1"/>
  <c r="Q283" i="1"/>
  <c r="R283" i="1" s="1"/>
  <c r="Q275" i="1"/>
  <c r="R275" i="1" s="1"/>
  <c r="Q267" i="1"/>
  <c r="R267" i="1" s="1"/>
  <c r="Q259" i="1"/>
  <c r="R259" i="1" s="1"/>
  <c r="Q251" i="1"/>
  <c r="R251" i="1" s="1"/>
  <c r="Q243" i="1"/>
  <c r="R243" i="1" s="1"/>
  <c r="Q235" i="1"/>
  <c r="R235" i="1" s="1"/>
  <c r="Q227" i="1"/>
  <c r="R227" i="1" s="1"/>
  <c r="Q219" i="1"/>
  <c r="R219" i="1" s="1"/>
  <c r="Q778" i="1"/>
  <c r="R778" i="1" s="1"/>
  <c r="Q770" i="1"/>
  <c r="R770" i="1" s="1"/>
  <c r="Q762" i="1"/>
  <c r="R762" i="1" s="1"/>
  <c r="Q746" i="1"/>
  <c r="R746" i="1" s="1"/>
  <c r="Q730" i="1"/>
  <c r="R730" i="1" s="1"/>
  <c r="Q714" i="1"/>
  <c r="R714" i="1" s="1"/>
  <c r="Q698" i="1"/>
  <c r="R698" i="1" s="1"/>
  <c r="Q682" i="1"/>
  <c r="R682" i="1" s="1"/>
  <c r="Q666" i="1"/>
  <c r="R666" i="1" s="1"/>
  <c r="Q650" i="1"/>
  <c r="R650" i="1" s="1"/>
  <c r="Q634" i="1"/>
  <c r="R634" i="1" s="1"/>
  <c r="Q618" i="1"/>
  <c r="R618" i="1" s="1"/>
  <c r="Q602" i="1"/>
  <c r="R602" i="1" s="1"/>
  <c r="Q586" i="1"/>
  <c r="R586" i="1" s="1"/>
  <c r="Q570" i="1"/>
  <c r="R570" i="1" s="1"/>
  <c r="Q554" i="1"/>
  <c r="R554" i="1" s="1"/>
  <c r="Q538" i="1"/>
  <c r="R538" i="1" s="1"/>
  <c r="Q530" i="1"/>
  <c r="R530" i="1" s="1"/>
  <c r="Q522" i="1"/>
  <c r="R522" i="1" s="1"/>
  <c r="Q514" i="1"/>
  <c r="R514" i="1" s="1"/>
  <c r="Q506" i="1"/>
  <c r="R506" i="1" s="1"/>
  <c r="Q498" i="1"/>
  <c r="R498" i="1" s="1"/>
  <c r="Q490" i="1"/>
  <c r="R490" i="1" s="1"/>
  <c r="Q482" i="1"/>
  <c r="R482" i="1" s="1"/>
  <c r="Q474" i="1"/>
  <c r="R474" i="1" s="1"/>
  <c r="Q466" i="1"/>
  <c r="R466" i="1" s="1"/>
  <c r="Q458" i="1"/>
  <c r="R458" i="1" s="1"/>
  <c r="Q450" i="1"/>
  <c r="R450" i="1" s="1"/>
  <c r="Q442" i="1"/>
  <c r="R442" i="1" s="1"/>
  <c r="Q434" i="1"/>
  <c r="R434" i="1" s="1"/>
  <c r="Q426" i="1"/>
  <c r="R426" i="1" s="1"/>
  <c r="Q418" i="1"/>
  <c r="R418" i="1" s="1"/>
  <c r="Q410" i="1"/>
  <c r="R410" i="1" s="1"/>
  <c r="Q402" i="1"/>
  <c r="R402" i="1" s="1"/>
  <c r="Q394" i="1"/>
  <c r="R394" i="1" s="1"/>
  <c r="Q386" i="1"/>
  <c r="R386" i="1" s="1"/>
  <c r="Q378" i="1"/>
  <c r="R378" i="1" s="1"/>
  <c r="Q370" i="1"/>
  <c r="R370" i="1" s="1"/>
  <c r="Q362" i="1"/>
  <c r="R362" i="1" s="1"/>
  <c r="Q354" i="1"/>
  <c r="R354" i="1" s="1"/>
  <c r="Q346" i="1"/>
  <c r="R346" i="1" s="1"/>
  <c r="Q338" i="1"/>
  <c r="R338" i="1" s="1"/>
  <c r="Q330" i="1"/>
  <c r="R330" i="1" s="1"/>
  <c r="Q322" i="1"/>
  <c r="R322" i="1" s="1"/>
  <c r="Q314" i="1"/>
  <c r="R314" i="1" s="1"/>
  <c r="Q306" i="1"/>
  <c r="R306" i="1" s="1"/>
  <c r="Q298" i="1"/>
  <c r="R298" i="1" s="1"/>
  <c r="Q290" i="1"/>
  <c r="R290" i="1" s="1"/>
  <c r="Q282" i="1"/>
  <c r="R282" i="1" s="1"/>
  <c r="Q274" i="1"/>
  <c r="R274" i="1" s="1"/>
  <c r="Q266" i="1"/>
  <c r="R266" i="1" s="1"/>
  <c r="Q258" i="1"/>
  <c r="R258" i="1" s="1"/>
  <c r="Q250" i="1"/>
  <c r="R250" i="1" s="1"/>
  <c r="Q242" i="1"/>
  <c r="R242" i="1" s="1"/>
  <c r="Q234" i="1"/>
  <c r="R234" i="1" s="1"/>
  <c r="Q226" i="1"/>
  <c r="R226" i="1" s="1"/>
  <c r="Q218" i="1"/>
  <c r="R218" i="1" s="1"/>
  <c r="Q210" i="1"/>
  <c r="R210" i="1" s="1"/>
  <c r="Q721" i="1"/>
  <c r="R721" i="1" s="1"/>
  <c r="Q713" i="1"/>
  <c r="R713" i="1" s="1"/>
  <c r="Q705" i="1"/>
  <c r="R705" i="1" s="1"/>
  <c r="Q697" i="1"/>
  <c r="R697" i="1" s="1"/>
  <c r="Q689" i="1"/>
  <c r="R689" i="1" s="1"/>
  <c r="Q681" i="1"/>
  <c r="R681" i="1" s="1"/>
  <c r="Q673" i="1"/>
  <c r="R673" i="1" s="1"/>
  <c r="Q665" i="1"/>
  <c r="R665" i="1" s="1"/>
  <c r="Q657" i="1"/>
  <c r="R657" i="1" s="1"/>
  <c r="Q649" i="1"/>
  <c r="R649" i="1" s="1"/>
  <c r="Q641" i="1"/>
  <c r="R641" i="1" s="1"/>
  <c r="Q633" i="1"/>
  <c r="R633" i="1" s="1"/>
  <c r="Q625" i="1"/>
  <c r="R625" i="1" s="1"/>
  <c r="Q617" i="1"/>
  <c r="R617" i="1" s="1"/>
  <c r="Q609" i="1"/>
  <c r="R609" i="1" s="1"/>
  <c r="Q601" i="1"/>
  <c r="R601" i="1" s="1"/>
  <c r="Q593" i="1"/>
  <c r="R593" i="1" s="1"/>
  <c r="Q585" i="1"/>
  <c r="R585" i="1" s="1"/>
  <c r="Q577" i="1"/>
  <c r="R577" i="1" s="1"/>
  <c r="Q569" i="1"/>
  <c r="R569" i="1" s="1"/>
  <c r="Q561" i="1"/>
  <c r="R561" i="1" s="1"/>
  <c r="Q553" i="1"/>
  <c r="R553" i="1" s="1"/>
  <c r="Q545" i="1"/>
  <c r="R545" i="1" s="1"/>
  <c r="Q537" i="1"/>
  <c r="R537" i="1" s="1"/>
  <c r="Q529" i="1"/>
  <c r="R529" i="1" s="1"/>
  <c r="Q521" i="1"/>
  <c r="R521" i="1" s="1"/>
  <c r="Q513" i="1"/>
  <c r="R513" i="1" s="1"/>
  <c r="Q505" i="1"/>
  <c r="R505" i="1" s="1"/>
  <c r="Q497" i="1"/>
  <c r="R497" i="1" s="1"/>
  <c r="Q489" i="1"/>
  <c r="R489" i="1" s="1"/>
  <c r="Q481" i="1"/>
  <c r="R481" i="1" s="1"/>
  <c r="Q473" i="1"/>
  <c r="R473" i="1" s="1"/>
  <c r="Q465" i="1"/>
  <c r="R465" i="1" s="1"/>
  <c r="Q457" i="1"/>
  <c r="R457" i="1" s="1"/>
  <c r="Q449" i="1"/>
  <c r="R449" i="1" s="1"/>
  <c r="Q441" i="1"/>
  <c r="R441" i="1" s="1"/>
  <c r="Q433" i="1"/>
  <c r="R433" i="1" s="1"/>
  <c r="Q425" i="1"/>
  <c r="R425" i="1" s="1"/>
  <c r="Q417" i="1"/>
  <c r="R417" i="1" s="1"/>
  <c r="Q409" i="1"/>
  <c r="R409" i="1" s="1"/>
  <c r="Q401" i="1"/>
  <c r="R401" i="1" s="1"/>
  <c r="Q393" i="1"/>
  <c r="R393" i="1" s="1"/>
  <c r="Q385" i="1"/>
  <c r="R385" i="1" s="1"/>
  <c r="Q377" i="1"/>
  <c r="R377" i="1" s="1"/>
  <c r="Q369" i="1"/>
  <c r="R369" i="1" s="1"/>
  <c r="Q361" i="1"/>
  <c r="R361" i="1" s="1"/>
  <c r="Q353" i="1"/>
  <c r="R353" i="1" s="1"/>
  <c r="Q345" i="1"/>
  <c r="R345" i="1" s="1"/>
  <c r="Q337" i="1"/>
  <c r="R337" i="1" s="1"/>
  <c r="Q329" i="1"/>
  <c r="R329" i="1" s="1"/>
  <c r="Q321" i="1"/>
  <c r="R321" i="1" s="1"/>
  <c r="Q313" i="1"/>
  <c r="R313" i="1" s="1"/>
  <c r="Q305" i="1"/>
  <c r="R305" i="1" s="1"/>
  <c r="Q297" i="1"/>
  <c r="R297" i="1" s="1"/>
  <c r="Q289" i="1"/>
  <c r="R289" i="1" s="1"/>
  <c r="Q281" i="1"/>
  <c r="R281" i="1" s="1"/>
  <c r="Q273" i="1"/>
  <c r="R273" i="1" s="1"/>
  <c r="Q265" i="1"/>
  <c r="R265" i="1" s="1"/>
  <c r="Q257" i="1"/>
  <c r="R257" i="1" s="1"/>
  <c r="Q249" i="1"/>
  <c r="R249" i="1" s="1"/>
  <c r="Q241" i="1"/>
  <c r="R241" i="1" s="1"/>
  <c r="Q233" i="1"/>
  <c r="R233" i="1" s="1"/>
  <c r="Q225" i="1"/>
  <c r="R225" i="1" s="1"/>
  <c r="Q217" i="1"/>
  <c r="R217" i="1" s="1"/>
  <c r="Q209" i="1"/>
  <c r="R209" i="1" s="1"/>
  <c r="Q201" i="1"/>
  <c r="R201" i="1" s="1"/>
  <c r="Q193" i="1"/>
  <c r="R193" i="1" s="1"/>
  <c r="Q185" i="1"/>
  <c r="R185" i="1" s="1"/>
  <c r="Q177" i="1"/>
  <c r="R177" i="1" s="1"/>
  <c r="Q169" i="1"/>
  <c r="R169" i="1" s="1"/>
  <c r="Q161" i="1"/>
  <c r="R161" i="1" s="1"/>
  <c r="Q153" i="1"/>
  <c r="R153" i="1" s="1"/>
  <c r="Q145" i="1"/>
  <c r="R145" i="1" s="1"/>
  <c r="Q137" i="1"/>
  <c r="R137" i="1" s="1"/>
  <c r="Q129" i="1"/>
  <c r="R129" i="1" s="1"/>
  <c r="Q121" i="1"/>
  <c r="R121" i="1" s="1"/>
  <c r="Q383" i="1"/>
  <c r="R383" i="1" s="1"/>
  <c r="Q375" i="1"/>
  <c r="R375" i="1" s="1"/>
  <c r="Q367" i="1"/>
  <c r="R367" i="1" s="1"/>
  <c r="Q359" i="1"/>
  <c r="R359" i="1" s="1"/>
  <c r="Q351" i="1"/>
  <c r="R351" i="1" s="1"/>
  <c r="Q343" i="1"/>
  <c r="R343" i="1" s="1"/>
  <c r="Q335" i="1"/>
  <c r="R335" i="1" s="1"/>
  <c r="Q327" i="1"/>
  <c r="R327" i="1" s="1"/>
  <c r="Q319" i="1"/>
  <c r="R319" i="1" s="1"/>
  <c r="Q311" i="1"/>
  <c r="R311" i="1" s="1"/>
  <c r="Q303" i="1"/>
  <c r="R303" i="1" s="1"/>
  <c r="Q295" i="1"/>
  <c r="R295" i="1" s="1"/>
  <c r="Q287" i="1"/>
  <c r="R287" i="1" s="1"/>
  <c r="Q279" i="1"/>
  <c r="R279" i="1" s="1"/>
  <c r="Q271" i="1"/>
  <c r="R271" i="1" s="1"/>
  <c r="Q263" i="1"/>
  <c r="R263" i="1" s="1"/>
  <c r="Q255" i="1"/>
  <c r="R255" i="1" s="1"/>
  <c r="Q247" i="1"/>
  <c r="R247" i="1" s="1"/>
  <c r="Q239" i="1"/>
  <c r="R239" i="1" s="1"/>
  <c r="Q231" i="1"/>
  <c r="R231" i="1" s="1"/>
  <c r="Q223" i="1"/>
  <c r="R223" i="1" s="1"/>
  <c r="Q215" i="1"/>
  <c r="R215" i="1" s="1"/>
  <c r="Q207" i="1"/>
  <c r="R207" i="1" s="1"/>
  <c r="Q199" i="1"/>
  <c r="R199" i="1" s="1"/>
  <c r="Q191" i="1"/>
  <c r="R191" i="1" s="1"/>
  <c r="Q183" i="1"/>
  <c r="R183" i="1" s="1"/>
  <c r="Q175" i="1"/>
  <c r="R175" i="1" s="1"/>
  <c r="Q167" i="1"/>
  <c r="R167" i="1" s="1"/>
  <c r="Q159" i="1"/>
  <c r="R159" i="1" s="1"/>
  <c r="Q151" i="1"/>
  <c r="R151" i="1" s="1"/>
  <c r="Q143" i="1"/>
  <c r="R143" i="1" s="1"/>
  <c r="Q135" i="1"/>
  <c r="R135" i="1" s="1"/>
  <c r="Q127" i="1"/>
  <c r="R127" i="1" s="1"/>
  <c r="Q119" i="1"/>
  <c r="R119" i="1" s="1"/>
  <c r="Q111" i="1"/>
  <c r="R111" i="1" s="1"/>
  <c r="Q103" i="1"/>
  <c r="R103" i="1" s="1"/>
  <c r="Q95" i="1"/>
  <c r="R95" i="1" s="1"/>
  <c r="Q87" i="1"/>
  <c r="R87" i="1" s="1"/>
  <c r="Q79" i="1"/>
  <c r="R79" i="1" s="1"/>
  <c r="Q71" i="1"/>
  <c r="R71" i="1" s="1"/>
  <c r="Q63" i="1"/>
  <c r="R63" i="1" s="1"/>
  <c r="Q55" i="1"/>
  <c r="R55" i="1" s="1"/>
  <c r="Q47" i="1"/>
  <c r="R47" i="1" s="1"/>
  <c r="Q39" i="1"/>
  <c r="R39" i="1" s="1"/>
  <c r="Q31" i="1"/>
  <c r="R31" i="1" s="1"/>
  <c r="Q23" i="1"/>
  <c r="R23" i="1" s="1"/>
  <c r="Q15" i="1"/>
  <c r="R15" i="1" s="1"/>
  <c r="Q7" i="1"/>
  <c r="R7" i="1" s="1"/>
  <c r="Q109" i="1"/>
  <c r="R109" i="1" s="1"/>
  <c r="Q101" i="1"/>
  <c r="R101" i="1" s="1"/>
  <c r="Q93" i="1"/>
  <c r="R93" i="1" s="1"/>
  <c r="Q85" i="1"/>
  <c r="R85" i="1" s="1"/>
  <c r="Q77" i="1"/>
  <c r="R77" i="1" s="1"/>
  <c r="Q69" i="1"/>
  <c r="R69" i="1" s="1"/>
  <c r="Q61" i="1"/>
  <c r="R61" i="1" s="1"/>
  <c r="Q53" i="1"/>
  <c r="R53" i="1" s="1"/>
  <c r="Q45" i="1"/>
  <c r="R45" i="1" s="1"/>
  <c r="Q37" i="1"/>
  <c r="R37" i="1" s="1"/>
  <c r="Q29" i="1"/>
  <c r="R29" i="1" s="1"/>
  <c r="Q21" i="1"/>
  <c r="R21" i="1" s="1"/>
  <c r="Q13" i="1"/>
  <c r="R13" i="1" s="1"/>
  <c r="Q5" i="1"/>
  <c r="R5" i="1" s="1"/>
  <c r="Q204" i="1"/>
  <c r="R204" i="1" s="1"/>
  <c r="Q196" i="1"/>
  <c r="R196" i="1" s="1"/>
  <c r="Q188" i="1"/>
  <c r="R188" i="1" s="1"/>
  <c r="Q180" i="1"/>
  <c r="R180" i="1" s="1"/>
  <c r="Q172" i="1"/>
  <c r="R172" i="1" s="1"/>
  <c r="Q164" i="1"/>
  <c r="R164" i="1" s="1"/>
  <c r="Q156" i="1"/>
  <c r="R156" i="1" s="1"/>
  <c r="Q148" i="1"/>
  <c r="R148" i="1" s="1"/>
  <c r="Q140" i="1"/>
  <c r="R140" i="1" s="1"/>
  <c r="Q132" i="1"/>
  <c r="R132" i="1" s="1"/>
  <c r="Q124" i="1"/>
  <c r="R124" i="1" s="1"/>
  <c r="Q116" i="1"/>
  <c r="R116" i="1" s="1"/>
  <c r="Q108" i="1"/>
  <c r="R108" i="1" s="1"/>
  <c r="Q100" i="1"/>
  <c r="R100" i="1" s="1"/>
  <c r="Q92" i="1"/>
  <c r="R92" i="1" s="1"/>
  <c r="Q84" i="1"/>
  <c r="R84" i="1" s="1"/>
  <c r="Q76" i="1"/>
  <c r="R76" i="1" s="1"/>
  <c r="Q68" i="1"/>
  <c r="R68" i="1" s="1"/>
  <c r="Q60" i="1"/>
  <c r="R60" i="1" s="1"/>
  <c r="Q52" i="1"/>
  <c r="R52" i="1" s="1"/>
  <c r="Q44" i="1"/>
  <c r="R44" i="1" s="1"/>
  <c r="Q36" i="1"/>
  <c r="R36" i="1" s="1"/>
  <c r="Q28" i="1"/>
  <c r="R28" i="1" s="1"/>
  <c r="Q20" i="1"/>
  <c r="R20" i="1" s="1"/>
  <c r="Q12" i="1"/>
  <c r="R12" i="1" s="1"/>
  <c r="Q4" i="1"/>
  <c r="R4" i="1" s="1"/>
  <c r="Q211" i="1"/>
  <c r="R211" i="1" s="1"/>
  <c r="Q203" i="1"/>
  <c r="R203" i="1" s="1"/>
  <c r="Q195" i="1"/>
  <c r="R195" i="1" s="1"/>
  <c r="Q187" i="1"/>
  <c r="R187" i="1" s="1"/>
  <c r="Q179" i="1"/>
  <c r="R179" i="1" s="1"/>
  <c r="Q171" i="1"/>
  <c r="R171" i="1" s="1"/>
  <c r="Q163" i="1"/>
  <c r="R163" i="1" s="1"/>
  <c r="Q155" i="1"/>
  <c r="R155" i="1" s="1"/>
  <c r="Q147" i="1"/>
  <c r="R147" i="1" s="1"/>
  <c r="Q139" i="1"/>
  <c r="R139" i="1" s="1"/>
  <c r="Q131" i="1"/>
  <c r="R131" i="1" s="1"/>
  <c r="Q123" i="1"/>
  <c r="R123" i="1" s="1"/>
  <c r="Q115" i="1"/>
  <c r="R115" i="1" s="1"/>
  <c r="Q107" i="1"/>
  <c r="R107" i="1" s="1"/>
  <c r="Q99" i="1"/>
  <c r="R99" i="1" s="1"/>
  <c r="Q91" i="1"/>
  <c r="R91" i="1" s="1"/>
  <c r="Q83" i="1"/>
  <c r="R83" i="1" s="1"/>
  <c r="Q75" i="1"/>
  <c r="R75" i="1" s="1"/>
  <c r="Q67" i="1"/>
  <c r="R67" i="1" s="1"/>
  <c r="Q59" i="1"/>
  <c r="R59" i="1" s="1"/>
  <c r="Q51" i="1"/>
  <c r="R51" i="1" s="1"/>
  <c r="Q43" i="1"/>
  <c r="R43" i="1" s="1"/>
  <c r="Q35" i="1"/>
  <c r="R35" i="1" s="1"/>
  <c r="Q27" i="1"/>
  <c r="R27" i="1" s="1"/>
  <c r="Q19" i="1"/>
  <c r="R19" i="1" s="1"/>
  <c r="Q11" i="1"/>
  <c r="R11" i="1" s="1"/>
  <c r="Q3" i="1"/>
  <c r="R3" i="1" s="1"/>
  <c r="Q194" i="1"/>
  <c r="R194" i="1" s="1"/>
  <c r="Q186" i="1"/>
  <c r="R186" i="1" s="1"/>
  <c r="Q178" i="1"/>
  <c r="R178" i="1" s="1"/>
  <c r="Q170" i="1"/>
  <c r="R170" i="1" s="1"/>
  <c r="Q162" i="1"/>
  <c r="R162" i="1" s="1"/>
  <c r="Q154" i="1"/>
  <c r="R154" i="1" s="1"/>
  <c r="Q146" i="1"/>
  <c r="R146" i="1" s="1"/>
  <c r="Q138" i="1"/>
  <c r="R138" i="1" s="1"/>
  <c r="Q130" i="1"/>
  <c r="R130" i="1" s="1"/>
  <c r="Q122" i="1"/>
  <c r="R122" i="1" s="1"/>
  <c r="Q114" i="1"/>
  <c r="R114" i="1" s="1"/>
  <c r="Q106" i="1"/>
  <c r="R106" i="1" s="1"/>
  <c r="Q98" i="1"/>
  <c r="R98" i="1" s="1"/>
  <c r="Q90" i="1"/>
  <c r="R90" i="1" s="1"/>
  <c r="Q82" i="1"/>
  <c r="R82" i="1" s="1"/>
  <c r="Q74" i="1"/>
  <c r="R74" i="1" s="1"/>
  <c r="Q66" i="1"/>
  <c r="R66" i="1" s="1"/>
  <c r="Q58" i="1"/>
  <c r="R58" i="1" s="1"/>
  <c r="Q50" i="1"/>
  <c r="R50" i="1" s="1"/>
  <c r="Q42" i="1"/>
  <c r="R42" i="1" s="1"/>
  <c r="Q34" i="1"/>
  <c r="R34" i="1" s="1"/>
  <c r="Q26" i="1"/>
  <c r="R26" i="1" s="1"/>
  <c r="Q18" i="1"/>
  <c r="R18" i="1" s="1"/>
  <c r="Q10" i="1"/>
  <c r="R10" i="1" s="1"/>
  <c r="Q113" i="1"/>
  <c r="R113" i="1" s="1"/>
  <c r="Q105" i="1"/>
  <c r="R105" i="1" s="1"/>
  <c r="Q97" i="1"/>
  <c r="R97" i="1" s="1"/>
  <c r="Q89" i="1"/>
  <c r="R89" i="1" s="1"/>
  <c r="Q81" i="1"/>
  <c r="R81" i="1" s="1"/>
  <c r="Q73" i="1"/>
  <c r="R73" i="1" s="1"/>
  <c r="Q65" i="1"/>
  <c r="R65" i="1" s="1"/>
  <c r="Q57" i="1"/>
  <c r="R57" i="1" s="1"/>
  <c r="Q49" i="1"/>
  <c r="R49" i="1" s="1"/>
  <c r="Q41" i="1"/>
  <c r="R41" i="1" s="1"/>
  <c r="Q33" i="1"/>
  <c r="R33" i="1" s="1"/>
  <c r="Q25" i="1"/>
  <c r="R25" i="1" s="1"/>
  <c r="Q17" i="1"/>
  <c r="R17" i="1" s="1"/>
  <c r="Q9" i="1"/>
  <c r="R9" i="1" s="1"/>
  <c r="Q1006" i="1" l="1"/>
  <c r="Q1005" i="1"/>
  <c r="Q1004" i="1"/>
  <c r="R2" i="1"/>
  <c r="R1006" i="1" l="1"/>
  <c r="R1005" i="1"/>
  <c r="R1004" i="1"/>
</calcChain>
</file>

<file path=xl/sharedStrings.xml><?xml version="1.0" encoding="utf-8"?>
<sst xmlns="http://schemas.openxmlformats.org/spreadsheetml/2006/main" count="6054" uniqueCount="54">
  <si>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</si>
  <si>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</si>
  <si>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</si>
  <si>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</si>
  <si>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</si>
  <si>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</si>
  <si>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</si>
  <si>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</si>
  <si>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</si>
  <si>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</si>
  <si>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</si>
  <si>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</si>
  <si>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</si>
  <si>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</si>
  <si>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</si>
  <si>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</si>
  <si>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</si>
  <si>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</si>
  <si>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</si>
  <si>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</si>
  <si>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West</t>
  </si>
  <si>
    <t>Retail</t>
  </si>
  <si>
    <t>David</t>
  </si>
  <si>
    <t>South</t>
  </si>
  <si>
    <t>Food</t>
  </si>
  <si>
    <t>Bank Transfer</t>
  </si>
  <si>
    <t>Clothing</t>
  </si>
  <si>
    <t>New</t>
  </si>
  <si>
    <t>Credit Card</t>
  </si>
  <si>
    <t>Charlie</t>
  </si>
  <si>
    <t>East</t>
  </si>
  <si>
    <t>Electronics</t>
  </si>
  <si>
    <t>Eve</t>
  </si>
  <si>
    <t>Alice</t>
  </si>
  <si>
    <t>Total_cost</t>
  </si>
  <si>
    <t>Revenue</t>
  </si>
  <si>
    <t>Gross_Profit</t>
  </si>
  <si>
    <t>Margin</t>
  </si>
  <si>
    <t>MAX</t>
  </si>
  <si>
    <t xml:space="preserve">MIN </t>
  </si>
  <si>
    <t>AVERAGE</t>
  </si>
  <si>
    <t>Returning Customers</t>
  </si>
  <si>
    <t>New Customers</t>
  </si>
  <si>
    <t>CASH</t>
  </si>
  <si>
    <t>CREDIT CARD</t>
  </si>
  <si>
    <t>BANK TRANSFER</t>
  </si>
  <si>
    <t>REVENUE</t>
  </si>
  <si>
    <t>REGION</t>
  </si>
  <si>
    <t>TOTAL</t>
  </si>
  <si>
    <t>GROSS_PROFIT</t>
  </si>
  <si>
    <t>Row Labels</t>
  </si>
  <si>
    <t>Grand Total</t>
  </si>
  <si>
    <t>Sum of Quantity_Sold</t>
  </si>
  <si>
    <t>Max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</si>
</sst>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16" fillId="33" borderId="0" xfId="0" applyFont="1" applyFill="1" applyAlignment="1">
      <alignment horizontal="center"/>
    </xf>
    <xf numFmtId="0" fontId="0" fillId="33" borderId="0" xfId="0" applyFill="1"/>
    <xf numFmtId="0" fontId="16" fillId="34" borderId="0" xfId="0" applyFont="1" applyFill="1" applyAlignment="1">
      <alignment horizontal="center"/>
    </xf>
    <xf numFmtId="0" fontId="0" fillId="34" borderId="0" xfId="0" applyFill="1"/>
    <xf numFmtId="0" fontId="16" fillId="35" borderId="0" xfId="0" applyFont="1" applyFill="1" applyBorder="1" applyAlignment="1">
      <alignment horizontal="center"/>
    </xf>
    <xf numFmtId="0" fontId="0" fillId="3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ara " refreshedDate="46031.035116435189" createdVersion="6" refreshedVersion="6" minRefreshableVersion="3" recordCount="5">
  <cacheSource type="worksheet">
    <worksheetSource ref="E1018:G1023" sheet="sales_data"/>
  </cacheSource>
  <cacheFields count="3">
    <cacheField name="Sales_Rep" numFmtId="0">
      <sharedItems count="5">
        <s v="Bob"/>
        <s v="David"/>
        <s v="Charlie"/>
        <s v="Eve"/>
        <s v="Alice"/>
      </sharedItems>
    </cacheField>
    <cacheField name="REVENUE" numFmtId="0">
      <sharedItems containsSemiMixedTypes="0" containsString="0" containsNumber="1" minValue="11552249.049999991" maxValue="16395583.950000005" count="5">
        <n v="13712628.180000003"/>
        <n v="16395583.950000005"/>
        <n v="11552249.049999991"/>
        <n v="15271749.440000001"/>
        <n v="13397730.089999994"/>
      </sharedItems>
    </cacheField>
    <cacheField name="Quantity_Sold" numFmtId="0">
      <sharedItems containsSemiMixedTypes="0" containsString="0" containsNumber="1" containsInteger="1" minValue="4217" maxValue="6042" count="5">
        <n v="4977"/>
        <n v="6042"/>
        <n v="4217"/>
        <n v="5287"/>
        <n v="483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3">
    <pivotField axis="axisRow" showAll="0">
      <items count="6">
        <item x="4"/>
        <item x="0"/>
        <item x="2"/>
        <item x="1"/>
        <item x="3"/>
        <item t="default"/>
      </items>
    </pivotField>
    <pivotField dataField="1" showAll="0">
      <items count="6">
        <item x="2"/>
        <item x="4"/>
        <item x="0"/>
        <item x="3"/>
        <item x="1"/>
        <item t="default"/>
      </items>
    </pivotField>
    <pivotField dataField="1" showAll="0">
      <items count="6">
        <item x="2"/>
        <item x="4"/>
        <item x="0"/>
        <item x="3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REVENUE" fld="1" subtotal="max" baseField="0" baseItem="0"/>
    <dataField name="Sum of Quantity_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tabSelected="1" workbookViewId="0">
      <selection activeCell="C2" sqref="C2"/>
    </sheetView>
  </sheetViews>
  <sheetFormatPr defaultRowHeight="14.5" x14ac:dyDescent="0.35"/>
  <cols>
    <col min="1" max="1" width="12.36328125" customWidth="1"/>
    <col min="2" max="2" width="15" customWidth="1"/>
    <col min="3" max="3" width="19.1796875" customWidth="1"/>
    <col min="4" max="4" width="11.81640625" bestFit="1" customWidth="1"/>
    <col min="5" max="5" width="11.81640625" customWidth="1"/>
    <col min="6" max="6" width="11.81640625" bestFit="1" customWidth="1"/>
    <col min="7" max="7" width="11.81640625" customWidth="1"/>
    <col min="8" max="8" width="11.81640625" bestFit="1" customWidth="1"/>
    <col min="9" max="9" width="9.54296875" bestFit="1" customWidth="1"/>
    <col min="10" max="10" width="11.81640625" bestFit="1" customWidth="1"/>
    <col min="11" max="11" width="9.54296875" bestFit="1" customWidth="1"/>
    <col min="12" max="12" width="10.7265625" bestFit="1" customWidth="1"/>
  </cols>
  <sheetData>
    <row r="3" spans="1:3" x14ac:dyDescent="0.35">
      <c r="A3" s="14" t="s">
        <v>50</v>
      </c>
      <c r="B3" t="s">
        <v>53</v>
      </c>
      <c r="C3" t="s">
        <v>52</v>
      </c>
    </row>
    <row r="4" spans="1:3" x14ac:dyDescent="0.35">
      <c r="A4" s="15" t="s">
        <v>33</v>
      </c>
      <c r="B4" s="16">
        <v>13397730.089999994</v>
      </c>
      <c r="C4" s="16">
        <v>4832</v>
      </c>
    </row>
    <row r="5" spans="1:3" x14ac:dyDescent="0.35">
      <c r="A5" s="15" t="s">
        <v>14</v>
      </c>
      <c r="B5" s="16">
        <v>13712628.180000003</v>
      </c>
      <c r="C5" s="16">
        <v>4977</v>
      </c>
    </row>
    <row r="6" spans="1:3" x14ac:dyDescent="0.35">
      <c r="A6" s="15" t="s">
        <v>29</v>
      </c>
      <c r="B6" s="16">
        <v>11552249.049999991</v>
      </c>
      <c r="C6" s="16">
        <v>4217</v>
      </c>
    </row>
    <row r="7" spans="1:3" x14ac:dyDescent="0.35">
      <c r="A7" s="15" t="s">
        <v>22</v>
      </c>
      <c r="B7" s="16">
        <v>16395583.950000005</v>
      </c>
      <c r="C7" s="16">
        <v>6042</v>
      </c>
    </row>
    <row r="8" spans="1:3" x14ac:dyDescent="0.35">
      <c r="A8" s="15" t="s">
        <v>32</v>
      </c>
      <c r="B8" s="16">
        <v>15271749.440000001</v>
      </c>
      <c r="C8" s="16">
        <v>5287</v>
      </c>
    </row>
    <row r="9" spans="1:3" x14ac:dyDescent="0.35">
      <c r="A9" s="15" t="s">
        <v>51</v>
      </c>
      <c r="B9" s="16">
        <v>16395583.950000005</v>
      </c>
      <c r="C9" s="16">
        <v>25355</v>
      </c>
    </row>
  </sheetData>
  <sortState columnSort="1" ref="A3:C9">
    <sortCondition descending="1" ref="B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4"/>
  <sheetViews>
    <sheetView zoomScale="69" zoomScaleNormal="130" workbookViewId="0">
      <pane ySplit="1" topLeftCell="A993" activePane="bottomLeft" state="frozen"/>
      <selection pane="bottomLeft" activeCell="E1018" sqref="E1018:G1023"/>
    </sheetView>
  </sheetViews>
  <sheetFormatPr defaultRowHeight="14.5" x14ac:dyDescent="0.35"/>
  <cols>
    <col min="1" max="1" width="10.08984375" bestFit="1" customWidth="1"/>
    <col min="2" max="2" width="11.1796875" bestFit="1" customWidth="1"/>
    <col min="3" max="3" width="9.1796875" bestFit="1" customWidth="1"/>
    <col min="4" max="4" width="6.453125" bestFit="1" customWidth="1"/>
    <col min="5" max="5" width="12.7265625" bestFit="1" customWidth="1"/>
    <col min="6" max="6" width="12.54296875" bestFit="1" customWidth="1"/>
    <col min="7" max="7" width="15.7265625" bestFit="1" customWidth="1"/>
    <col min="8" max="8" width="8.90625" bestFit="1" customWidth="1"/>
    <col min="9" max="9" width="9.26953125" bestFit="1" customWidth="1"/>
    <col min="10" max="10" width="14" bestFit="1" customWidth="1"/>
    <col min="11" max="11" width="8.08984375" bestFit="1" customWidth="1"/>
    <col min="12" max="12" width="15.81640625" bestFit="1" customWidth="1"/>
    <col min="13" max="13" width="12.90625" bestFit="1" customWidth="1"/>
    <col min="14" max="14" width="20.1796875" bestFit="1" customWidth="1"/>
    <col min="15" max="16" width="10.90625" bestFit="1" customWidth="1"/>
    <col min="17" max="17" width="11.6328125" bestFit="1" customWidth="1"/>
  </cols>
  <sheetData>
    <row r="1" spans="1:18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34</v>
      </c>
      <c r="P1" s="2" t="s">
        <v>35</v>
      </c>
      <c r="Q1" s="2" t="s">
        <v>36</v>
      </c>
      <c r="R1" s="2" t="s">
        <v>37</v>
      </c>
    </row>
    <row r="2" spans="1:18" x14ac:dyDescent="0.3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tr">
        <f>D2 &amp; "-" &amp; C2</f>
        <v>North-Bob</v>
      </c>
      <c r="O2">
        <f>F2*H2</f>
        <v>2749.5</v>
      </c>
      <c r="P2">
        <f>F2*I2</f>
        <v>4809.9600000000009</v>
      </c>
      <c r="Q2">
        <f>P2-O2</f>
        <v>2060.4600000000009</v>
      </c>
      <c r="R2">
        <f>(Q2/P2)*100</f>
        <v>42.837362472868804</v>
      </c>
    </row>
    <row r="3" spans="1:18" x14ac:dyDescent="0.35">
      <c r="A3">
        <v>1093</v>
      </c>
      <c r="B3" s="1">
        <v>45037</v>
      </c>
      <c r="C3" t="s">
        <v>14</v>
      </c>
      <c r="D3" t="s">
        <v>20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21</v>
      </c>
      <c r="N3" t="str">
        <f t="shared" ref="N3:N66" si="0">D3 &amp; "-" &amp; C3</f>
        <v>West-Bob</v>
      </c>
      <c r="O3">
        <f t="shared" ref="O3:O66" si="1">F3*H3</f>
        <v>64878.63</v>
      </c>
      <c r="P3">
        <f t="shared" ref="P3:P66" si="2">F3*I3</f>
        <v>71560.479999999996</v>
      </c>
      <c r="Q3">
        <f t="shared" ref="Q3:Q66" si="3">P3-O3</f>
        <v>6681.8499999999985</v>
      </c>
      <c r="R3">
        <f t="shared" ref="R3:R66" si="4">(Q3/P3)*100</f>
        <v>9.3373465354061338</v>
      </c>
    </row>
    <row r="4" spans="1:18" x14ac:dyDescent="0.35">
      <c r="A4">
        <v>1015</v>
      </c>
      <c r="B4" s="1">
        <v>45190</v>
      </c>
      <c r="C4" t="s">
        <v>22</v>
      </c>
      <c r="D4" t="s">
        <v>23</v>
      </c>
      <c r="E4">
        <v>4631.2299999999996</v>
      </c>
      <c r="F4">
        <v>30</v>
      </c>
      <c r="G4" t="s">
        <v>24</v>
      </c>
      <c r="H4">
        <v>261.56</v>
      </c>
      <c r="I4">
        <v>371.4</v>
      </c>
      <c r="J4" t="s">
        <v>17</v>
      </c>
      <c r="K4">
        <v>0.2</v>
      </c>
      <c r="L4" t="s">
        <v>25</v>
      </c>
      <c r="M4" t="s">
        <v>21</v>
      </c>
      <c r="N4" t="str">
        <f t="shared" si="0"/>
        <v>South-David</v>
      </c>
      <c r="O4">
        <f t="shared" si="1"/>
        <v>7846.8</v>
      </c>
      <c r="P4">
        <f t="shared" si="2"/>
        <v>11142</v>
      </c>
      <c r="Q4">
        <f t="shared" si="3"/>
        <v>3295.2</v>
      </c>
      <c r="R4">
        <f t="shared" si="4"/>
        <v>29.57458266020463</v>
      </c>
    </row>
    <row r="5" spans="1:18" x14ac:dyDescent="0.35">
      <c r="A5">
        <v>1072</v>
      </c>
      <c r="B5" s="1">
        <v>45162</v>
      </c>
      <c r="C5" t="s">
        <v>14</v>
      </c>
      <c r="D5" t="s">
        <v>23</v>
      </c>
      <c r="E5">
        <v>2167.94</v>
      </c>
      <c r="F5">
        <v>39</v>
      </c>
      <c r="G5" t="s">
        <v>26</v>
      </c>
      <c r="H5">
        <v>4330.03</v>
      </c>
      <c r="I5">
        <v>4467.75</v>
      </c>
      <c r="J5" t="s">
        <v>27</v>
      </c>
      <c r="K5">
        <v>0.02</v>
      </c>
      <c r="L5" t="s">
        <v>28</v>
      </c>
      <c r="M5" t="s">
        <v>21</v>
      </c>
      <c r="N5" t="str">
        <f t="shared" si="0"/>
        <v>South-Bob</v>
      </c>
      <c r="O5">
        <f t="shared" si="1"/>
        <v>168871.16999999998</v>
      </c>
      <c r="P5">
        <f t="shared" si="2"/>
        <v>174242.25</v>
      </c>
      <c r="Q5">
        <f t="shared" si="3"/>
        <v>5371.0800000000163</v>
      </c>
      <c r="R5">
        <f t="shared" si="4"/>
        <v>3.0825359521011788</v>
      </c>
    </row>
    <row r="6" spans="1:18" x14ac:dyDescent="0.35">
      <c r="A6">
        <v>1061</v>
      </c>
      <c r="B6" s="1">
        <v>45009</v>
      </c>
      <c r="C6" t="s">
        <v>29</v>
      </c>
      <c r="D6" t="s">
        <v>30</v>
      </c>
      <c r="E6">
        <v>3750.2</v>
      </c>
      <c r="F6">
        <v>13</v>
      </c>
      <c r="G6" t="s">
        <v>31</v>
      </c>
      <c r="H6">
        <v>637.37</v>
      </c>
      <c r="I6">
        <v>692.71</v>
      </c>
      <c r="J6" t="s">
        <v>27</v>
      </c>
      <c r="K6">
        <v>0.08</v>
      </c>
      <c r="L6" t="s">
        <v>28</v>
      </c>
      <c r="M6" t="s">
        <v>19</v>
      </c>
      <c r="N6" t="str">
        <f t="shared" si="0"/>
        <v>East-Charlie</v>
      </c>
      <c r="O6">
        <f t="shared" si="1"/>
        <v>8285.81</v>
      </c>
      <c r="P6">
        <f t="shared" si="2"/>
        <v>9005.23</v>
      </c>
      <c r="Q6">
        <f t="shared" si="3"/>
        <v>719.42000000000007</v>
      </c>
      <c r="R6">
        <f t="shared" si="4"/>
        <v>7.9889131093819943</v>
      </c>
    </row>
    <row r="7" spans="1:18" x14ac:dyDescent="0.35">
      <c r="A7">
        <v>1021</v>
      </c>
      <c r="B7" s="1">
        <v>44968</v>
      </c>
      <c r="C7" t="s">
        <v>29</v>
      </c>
      <c r="D7" t="s">
        <v>20</v>
      </c>
      <c r="E7">
        <v>3761.15</v>
      </c>
      <c r="F7">
        <v>32</v>
      </c>
      <c r="G7" t="s">
        <v>24</v>
      </c>
      <c r="H7">
        <v>900.79</v>
      </c>
      <c r="I7">
        <v>1106.51</v>
      </c>
      <c r="J7" t="s">
        <v>27</v>
      </c>
      <c r="K7">
        <v>0.21</v>
      </c>
      <c r="L7" t="s">
        <v>18</v>
      </c>
      <c r="M7" t="s">
        <v>19</v>
      </c>
      <c r="N7" t="str">
        <f t="shared" si="0"/>
        <v>West-Charlie</v>
      </c>
      <c r="O7">
        <f t="shared" si="1"/>
        <v>28825.279999999999</v>
      </c>
      <c r="P7">
        <f t="shared" si="2"/>
        <v>35408.32</v>
      </c>
      <c r="Q7">
        <f t="shared" si="3"/>
        <v>6583.0400000000009</v>
      </c>
      <c r="R7">
        <f t="shared" si="4"/>
        <v>18.591788596578436</v>
      </c>
    </row>
    <row r="8" spans="1:18" x14ac:dyDescent="0.35">
      <c r="A8">
        <v>1083</v>
      </c>
      <c r="B8" s="1">
        <v>45027</v>
      </c>
      <c r="C8" t="s">
        <v>14</v>
      </c>
      <c r="D8" t="s">
        <v>20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tr">
        <f t="shared" si="0"/>
        <v>West-Bob</v>
      </c>
      <c r="O8">
        <f t="shared" si="1"/>
        <v>69855.490000000005</v>
      </c>
      <c r="P8">
        <f t="shared" si="2"/>
        <v>76098.61</v>
      </c>
      <c r="Q8">
        <f t="shared" si="3"/>
        <v>6243.1199999999953</v>
      </c>
      <c r="R8">
        <f t="shared" si="4"/>
        <v>8.2039869059369099</v>
      </c>
    </row>
    <row r="9" spans="1:18" x14ac:dyDescent="0.35">
      <c r="A9">
        <v>1087</v>
      </c>
      <c r="B9" s="1">
        <v>44932</v>
      </c>
      <c r="C9" t="s">
        <v>32</v>
      </c>
      <c r="D9" t="s">
        <v>23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27</v>
      </c>
      <c r="K9">
        <v>0.12</v>
      </c>
      <c r="L9" t="s">
        <v>25</v>
      </c>
      <c r="M9" t="s">
        <v>19</v>
      </c>
      <c r="N9" t="str">
        <f t="shared" si="0"/>
        <v>South-Eve</v>
      </c>
      <c r="O9">
        <f t="shared" si="1"/>
        <v>170315.46000000002</v>
      </c>
      <c r="P9">
        <f t="shared" si="2"/>
        <v>182373.9</v>
      </c>
      <c r="Q9">
        <f t="shared" si="3"/>
        <v>12058.439999999973</v>
      </c>
      <c r="R9">
        <f t="shared" si="4"/>
        <v>6.6119329575119981</v>
      </c>
    </row>
    <row r="10" spans="1:18" x14ac:dyDescent="0.35">
      <c r="A10">
        <v>1075</v>
      </c>
      <c r="B10" s="1">
        <v>45106</v>
      </c>
      <c r="C10" t="s">
        <v>22</v>
      </c>
      <c r="D10" t="s">
        <v>23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27</v>
      </c>
      <c r="K10">
        <v>0.05</v>
      </c>
      <c r="L10" t="s">
        <v>25</v>
      </c>
      <c r="M10" t="s">
        <v>19</v>
      </c>
      <c r="N10" t="str">
        <f t="shared" si="0"/>
        <v>South-David</v>
      </c>
      <c r="O10">
        <f t="shared" si="1"/>
        <v>22141.8</v>
      </c>
      <c r="P10">
        <f t="shared" si="2"/>
        <v>32863.499999999702</v>
      </c>
      <c r="Q10">
        <f t="shared" si="3"/>
        <v>10721.699999999702</v>
      </c>
      <c r="R10">
        <f t="shared" si="4"/>
        <v>32.624948651238604</v>
      </c>
    </row>
    <row r="11" spans="1:18" x14ac:dyDescent="0.35">
      <c r="A11">
        <v>1075</v>
      </c>
      <c r="B11" s="1">
        <v>45208</v>
      </c>
      <c r="C11" t="s">
        <v>29</v>
      </c>
      <c r="D11" t="s">
        <v>20</v>
      </c>
      <c r="E11">
        <v>8239.58</v>
      </c>
      <c r="F11">
        <v>18</v>
      </c>
      <c r="G11" t="s">
        <v>26</v>
      </c>
      <c r="H11">
        <v>2228.35</v>
      </c>
      <c r="I11">
        <v>2682.34</v>
      </c>
      <c r="J11" t="s">
        <v>27</v>
      </c>
      <c r="K11">
        <v>0.13</v>
      </c>
      <c r="L11" t="s">
        <v>25</v>
      </c>
      <c r="M11" t="s">
        <v>19</v>
      </c>
      <c r="N11" t="str">
        <f t="shared" si="0"/>
        <v>West-Charlie</v>
      </c>
      <c r="O11">
        <f t="shared" si="1"/>
        <v>40110.299999999996</v>
      </c>
      <c r="P11">
        <f t="shared" si="2"/>
        <v>48282.12</v>
      </c>
      <c r="Q11">
        <f t="shared" si="3"/>
        <v>8171.820000000007</v>
      </c>
      <c r="R11">
        <f t="shared" si="4"/>
        <v>16.925147445886815</v>
      </c>
    </row>
    <row r="12" spans="1:18" x14ac:dyDescent="0.35">
      <c r="A12">
        <v>1088</v>
      </c>
      <c r="B12" s="1">
        <v>45246</v>
      </c>
      <c r="C12" t="s">
        <v>32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27</v>
      </c>
      <c r="K12">
        <v>0.23</v>
      </c>
      <c r="L12" t="s">
        <v>25</v>
      </c>
      <c r="M12" t="s">
        <v>21</v>
      </c>
      <c r="N12" t="str">
        <f t="shared" si="0"/>
        <v>North-Eve</v>
      </c>
      <c r="O12">
        <f t="shared" si="1"/>
        <v>31721.43</v>
      </c>
      <c r="P12">
        <f t="shared" si="2"/>
        <v>32728.799999999999</v>
      </c>
      <c r="Q12">
        <f t="shared" si="3"/>
        <v>1007.369999999999</v>
      </c>
      <c r="R12">
        <f t="shared" si="4"/>
        <v>3.0779313632030476</v>
      </c>
    </row>
    <row r="13" spans="1:18" x14ac:dyDescent="0.35">
      <c r="A13">
        <v>1100</v>
      </c>
      <c r="B13" s="1">
        <v>45152</v>
      </c>
      <c r="C13" t="s">
        <v>14</v>
      </c>
      <c r="D13" t="s">
        <v>20</v>
      </c>
      <c r="E13">
        <v>2198.7399999999998</v>
      </c>
      <c r="F13">
        <v>43</v>
      </c>
      <c r="G13" t="s">
        <v>24</v>
      </c>
      <c r="H13">
        <v>1100.81</v>
      </c>
      <c r="I13">
        <v>1137.44</v>
      </c>
      <c r="J13" t="s">
        <v>17</v>
      </c>
      <c r="K13">
        <v>0.08</v>
      </c>
      <c r="L13" t="s">
        <v>25</v>
      </c>
      <c r="M13" t="s">
        <v>19</v>
      </c>
      <c r="N13" t="str">
        <f t="shared" si="0"/>
        <v>West-Bob</v>
      </c>
      <c r="O13">
        <f t="shared" si="1"/>
        <v>47334.829999999994</v>
      </c>
      <c r="P13">
        <f t="shared" si="2"/>
        <v>48909.920000000006</v>
      </c>
      <c r="Q13">
        <f t="shared" si="3"/>
        <v>1575.0900000000111</v>
      </c>
      <c r="R13">
        <f t="shared" si="4"/>
        <v>3.2203896469264532</v>
      </c>
    </row>
    <row r="14" spans="1:18" x14ac:dyDescent="0.35">
      <c r="A14">
        <v>1024</v>
      </c>
      <c r="B14" s="1">
        <v>45241</v>
      </c>
      <c r="C14" t="s">
        <v>32</v>
      </c>
      <c r="D14" t="s">
        <v>20</v>
      </c>
      <c r="E14">
        <v>6607.8</v>
      </c>
      <c r="F14">
        <v>21</v>
      </c>
      <c r="G14" t="s">
        <v>24</v>
      </c>
      <c r="H14">
        <v>622.01</v>
      </c>
      <c r="I14">
        <v>641.09</v>
      </c>
      <c r="J14" t="s">
        <v>17</v>
      </c>
      <c r="K14">
        <v>0</v>
      </c>
      <c r="L14" t="s">
        <v>25</v>
      </c>
      <c r="M14" t="s">
        <v>21</v>
      </c>
      <c r="N14" t="str">
        <f t="shared" si="0"/>
        <v>West-Eve</v>
      </c>
      <c r="O14">
        <f t="shared" si="1"/>
        <v>13062.21</v>
      </c>
      <c r="P14">
        <f t="shared" si="2"/>
        <v>13462.890000000001</v>
      </c>
      <c r="Q14">
        <f t="shared" si="3"/>
        <v>400.68000000000211</v>
      </c>
      <c r="R14">
        <f t="shared" si="4"/>
        <v>2.976181191408398</v>
      </c>
    </row>
    <row r="15" spans="1:18" x14ac:dyDescent="0.35">
      <c r="A15">
        <v>1003</v>
      </c>
      <c r="B15" s="1">
        <v>45291</v>
      </c>
      <c r="C15" t="s">
        <v>33</v>
      </c>
      <c r="D15" t="s">
        <v>23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27</v>
      </c>
      <c r="K15">
        <v>0.2</v>
      </c>
      <c r="L15" t="s">
        <v>18</v>
      </c>
      <c r="M15" t="s">
        <v>19</v>
      </c>
      <c r="N15" t="str">
        <f t="shared" si="0"/>
        <v>South-Alice</v>
      </c>
      <c r="O15">
        <f t="shared" si="1"/>
        <v>125708.4</v>
      </c>
      <c r="P15">
        <f t="shared" si="2"/>
        <v>128119.49999999999</v>
      </c>
      <c r="Q15">
        <f t="shared" si="3"/>
        <v>2411.0999999999913</v>
      </c>
      <c r="R15">
        <f t="shared" si="4"/>
        <v>1.8819149309823966</v>
      </c>
    </row>
    <row r="16" spans="1:18" x14ac:dyDescent="0.35">
      <c r="A16">
        <v>1022</v>
      </c>
      <c r="B16" s="1">
        <v>45155</v>
      </c>
      <c r="C16" t="s">
        <v>29</v>
      </c>
      <c r="D16" t="s">
        <v>23</v>
      </c>
      <c r="E16">
        <v>8813.5499999999993</v>
      </c>
      <c r="F16">
        <v>21</v>
      </c>
      <c r="G16" t="s">
        <v>24</v>
      </c>
      <c r="H16">
        <v>2537.1999999999998</v>
      </c>
      <c r="I16">
        <v>2869.6</v>
      </c>
      <c r="J16" t="s">
        <v>27</v>
      </c>
      <c r="K16">
        <v>0.28999999999999998</v>
      </c>
      <c r="L16" t="s">
        <v>25</v>
      </c>
      <c r="M16" t="s">
        <v>21</v>
      </c>
      <c r="N16" t="str">
        <f t="shared" si="0"/>
        <v>South-Charlie</v>
      </c>
      <c r="O16">
        <f t="shared" si="1"/>
        <v>53281.2</v>
      </c>
      <c r="P16">
        <f t="shared" si="2"/>
        <v>60261.599999999999</v>
      </c>
      <c r="Q16">
        <f t="shared" si="3"/>
        <v>6980.4000000000015</v>
      </c>
      <c r="R16">
        <f t="shared" si="4"/>
        <v>11.583495957624759</v>
      </c>
    </row>
    <row r="17" spans="1:18" x14ac:dyDescent="0.3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27</v>
      </c>
      <c r="K17">
        <v>0.18</v>
      </c>
      <c r="L17" t="s">
        <v>18</v>
      </c>
      <c r="M17" t="s">
        <v>21</v>
      </c>
      <c r="N17" t="str">
        <f t="shared" si="0"/>
        <v>North-Bob</v>
      </c>
      <c r="O17">
        <f t="shared" si="1"/>
        <v>5817.12</v>
      </c>
      <c r="P17">
        <f t="shared" si="2"/>
        <v>23407.199999999997</v>
      </c>
      <c r="Q17">
        <f t="shared" si="3"/>
        <v>17590.079999999998</v>
      </c>
      <c r="R17">
        <f t="shared" si="4"/>
        <v>75.148159540654163</v>
      </c>
    </row>
    <row r="18" spans="1:18" x14ac:dyDescent="0.35">
      <c r="A18">
        <v>1002</v>
      </c>
      <c r="B18" s="1">
        <v>45076</v>
      </c>
      <c r="C18" t="s">
        <v>22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tr">
        <f t="shared" si="0"/>
        <v>North-David</v>
      </c>
      <c r="O18">
        <f t="shared" si="1"/>
        <v>68420.92</v>
      </c>
      <c r="P18">
        <f t="shared" si="2"/>
        <v>75142.549999999988</v>
      </c>
      <c r="Q18">
        <f t="shared" si="3"/>
        <v>6721.6299999999901</v>
      </c>
      <c r="R18">
        <f t="shared" si="4"/>
        <v>8.9451715439521173</v>
      </c>
    </row>
    <row r="19" spans="1:18" x14ac:dyDescent="0.35">
      <c r="A19">
        <v>1088</v>
      </c>
      <c r="B19" s="1">
        <v>45203</v>
      </c>
      <c r="C19" t="s">
        <v>14</v>
      </c>
      <c r="D19" t="s">
        <v>30</v>
      </c>
      <c r="E19">
        <v>6116.75</v>
      </c>
      <c r="F19">
        <v>40</v>
      </c>
      <c r="G19" t="s">
        <v>31</v>
      </c>
      <c r="H19">
        <v>4904.93</v>
      </c>
      <c r="I19">
        <v>5034.3500000000004</v>
      </c>
      <c r="J19" t="s">
        <v>27</v>
      </c>
      <c r="K19">
        <v>0.1</v>
      </c>
      <c r="L19" t="s">
        <v>28</v>
      </c>
      <c r="M19" t="s">
        <v>21</v>
      </c>
      <c r="N19" t="str">
        <f t="shared" si="0"/>
        <v>East-Bob</v>
      </c>
      <c r="O19">
        <f t="shared" si="1"/>
        <v>196197.2</v>
      </c>
      <c r="P19">
        <f t="shared" si="2"/>
        <v>201374</v>
      </c>
      <c r="Q19">
        <f t="shared" si="3"/>
        <v>5176.7999999999884</v>
      </c>
      <c r="R19">
        <f t="shared" si="4"/>
        <v>2.5707390229125848</v>
      </c>
    </row>
    <row r="20" spans="1:18" x14ac:dyDescent="0.35">
      <c r="A20">
        <v>1030</v>
      </c>
      <c r="B20" s="1">
        <v>45124</v>
      </c>
      <c r="C20" t="s">
        <v>22</v>
      </c>
      <c r="D20" t="s">
        <v>20</v>
      </c>
      <c r="E20">
        <v>3023.48</v>
      </c>
      <c r="F20">
        <v>19</v>
      </c>
      <c r="G20" t="s">
        <v>26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tr">
        <f t="shared" si="0"/>
        <v>West-David</v>
      </c>
      <c r="O20">
        <f t="shared" si="1"/>
        <v>57937.27</v>
      </c>
      <c r="P20">
        <f t="shared" si="2"/>
        <v>60975.179999999993</v>
      </c>
      <c r="Q20">
        <f t="shared" si="3"/>
        <v>3037.9099999999962</v>
      </c>
      <c r="R20">
        <f t="shared" si="4"/>
        <v>4.9822075145985574</v>
      </c>
    </row>
    <row r="21" spans="1:18" x14ac:dyDescent="0.35">
      <c r="A21">
        <v>1038</v>
      </c>
      <c r="B21" s="1">
        <v>44996</v>
      </c>
      <c r="C21" t="s">
        <v>14</v>
      </c>
      <c r="D21" t="s">
        <v>23</v>
      </c>
      <c r="E21">
        <v>1452.35</v>
      </c>
      <c r="F21">
        <v>15</v>
      </c>
      <c r="G21" t="s">
        <v>26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tr">
        <f t="shared" si="0"/>
        <v>South-Bob</v>
      </c>
      <c r="O21">
        <f t="shared" si="1"/>
        <v>38150.400000000001</v>
      </c>
      <c r="P21">
        <f t="shared" si="2"/>
        <v>41851.5</v>
      </c>
      <c r="Q21">
        <f t="shared" si="3"/>
        <v>3701.0999999999985</v>
      </c>
      <c r="R21">
        <f t="shared" si="4"/>
        <v>8.8434106304433513</v>
      </c>
    </row>
    <row r="22" spans="1:18" x14ac:dyDescent="0.35">
      <c r="A22">
        <v>1002</v>
      </c>
      <c r="B22" s="1">
        <v>45038</v>
      </c>
      <c r="C22" t="s">
        <v>32</v>
      </c>
      <c r="D22" t="s">
        <v>15</v>
      </c>
      <c r="E22">
        <v>6551.23</v>
      </c>
      <c r="F22">
        <v>9</v>
      </c>
      <c r="G22" t="s">
        <v>31</v>
      </c>
      <c r="H22">
        <v>4398.16</v>
      </c>
      <c r="I22">
        <v>4439.12</v>
      </c>
      <c r="J22" t="s">
        <v>27</v>
      </c>
      <c r="K22">
        <v>0.18</v>
      </c>
      <c r="L22" t="s">
        <v>25</v>
      </c>
      <c r="M22" t="s">
        <v>19</v>
      </c>
      <c r="N22" t="str">
        <f t="shared" si="0"/>
        <v>North-Eve</v>
      </c>
      <c r="O22">
        <f t="shared" si="1"/>
        <v>39583.440000000002</v>
      </c>
      <c r="P22">
        <f t="shared" si="2"/>
        <v>39952.080000000002</v>
      </c>
      <c r="Q22">
        <f t="shared" si="3"/>
        <v>368.63999999999942</v>
      </c>
      <c r="R22">
        <f t="shared" si="4"/>
        <v>0.92270540107048082</v>
      </c>
    </row>
    <row r="23" spans="1:18" x14ac:dyDescent="0.35">
      <c r="A23">
        <v>1064</v>
      </c>
      <c r="B23" s="1">
        <v>44930</v>
      </c>
      <c r="C23" t="s">
        <v>32</v>
      </c>
      <c r="D23" t="s">
        <v>30</v>
      </c>
      <c r="E23">
        <v>7412.11</v>
      </c>
      <c r="F23">
        <v>10</v>
      </c>
      <c r="G23" t="s">
        <v>31</v>
      </c>
      <c r="H23">
        <v>4764.96</v>
      </c>
      <c r="I23">
        <v>5074.42</v>
      </c>
      <c r="J23" t="s">
        <v>27</v>
      </c>
      <c r="K23">
        <v>0.12</v>
      </c>
      <c r="L23" t="s">
        <v>18</v>
      </c>
      <c r="M23" t="s">
        <v>19</v>
      </c>
      <c r="N23" t="str">
        <f t="shared" si="0"/>
        <v>East-Eve</v>
      </c>
      <c r="O23">
        <f t="shared" si="1"/>
        <v>47649.599999999999</v>
      </c>
      <c r="P23">
        <f t="shared" si="2"/>
        <v>50744.2</v>
      </c>
      <c r="Q23">
        <f t="shared" si="3"/>
        <v>3094.5999999999985</v>
      </c>
      <c r="R23">
        <f t="shared" si="4"/>
        <v>6.0984309536853454</v>
      </c>
    </row>
    <row r="24" spans="1:18" x14ac:dyDescent="0.35">
      <c r="A24">
        <v>1060</v>
      </c>
      <c r="B24" s="1">
        <v>45276</v>
      </c>
      <c r="C24" t="s">
        <v>32</v>
      </c>
      <c r="D24" t="s">
        <v>30</v>
      </c>
      <c r="E24">
        <v>3224.71</v>
      </c>
      <c r="F24">
        <v>44</v>
      </c>
      <c r="G24" t="s">
        <v>26</v>
      </c>
      <c r="H24">
        <v>3784.96</v>
      </c>
      <c r="I24">
        <v>4276.99</v>
      </c>
      <c r="J24" t="s">
        <v>27</v>
      </c>
      <c r="K24">
        <v>0.06</v>
      </c>
      <c r="L24" t="s">
        <v>25</v>
      </c>
      <c r="M24" t="s">
        <v>21</v>
      </c>
      <c r="N24" t="str">
        <f t="shared" si="0"/>
        <v>East-Eve</v>
      </c>
      <c r="O24">
        <f t="shared" si="1"/>
        <v>166538.23999999999</v>
      </c>
      <c r="P24">
        <f t="shared" si="2"/>
        <v>188187.56</v>
      </c>
      <c r="Q24">
        <f t="shared" si="3"/>
        <v>21649.320000000007</v>
      </c>
      <c r="R24">
        <f t="shared" si="4"/>
        <v>11.50411855066297</v>
      </c>
    </row>
    <row r="25" spans="1:18" x14ac:dyDescent="0.35">
      <c r="A25">
        <v>1021</v>
      </c>
      <c r="B25" s="1">
        <v>45257</v>
      </c>
      <c r="C25" t="s">
        <v>33</v>
      </c>
      <c r="D25" t="s">
        <v>23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25</v>
      </c>
      <c r="M25" t="s">
        <v>19</v>
      </c>
      <c r="N25" t="str">
        <f t="shared" si="0"/>
        <v>South-Alice</v>
      </c>
      <c r="O25">
        <f t="shared" si="1"/>
        <v>69904.689999999988</v>
      </c>
      <c r="P25">
        <f t="shared" si="2"/>
        <v>75695.490000000005</v>
      </c>
      <c r="Q25">
        <f t="shared" si="3"/>
        <v>5790.8000000000175</v>
      </c>
      <c r="R25">
        <f t="shared" si="4"/>
        <v>7.6501255226698675</v>
      </c>
    </row>
    <row r="26" spans="1:18" x14ac:dyDescent="0.35">
      <c r="A26">
        <v>1033</v>
      </c>
      <c r="B26" s="1">
        <v>45244</v>
      </c>
      <c r="C26" t="s">
        <v>22</v>
      </c>
      <c r="D26" t="s">
        <v>23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25</v>
      </c>
      <c r="M26" t="s">
        <v>21</v>
      </c>
      <c r="N26" t="str">
        <f t="shared" si="0"/>
        <v>South-David</v>
      </c>
      <c r="O26">
        <f t="shared" si="1"/>
        <v>68574.5</v>
      </c>
      <c r="P26">
        <f t="shared" si="2"/>
        <v>77289.2</v>
      </c>
      <c r="Q26">
        <f t="shared" si="3"/>
        <v>8714.6999999999971</v>
      </c>
      <c r="R26">
        <f t="shared" si="4"/>
        <v>11.275443399595284</v>
      </c>
    </row>
    <row r="27" spans="1:18" x14ac:dyDescent="0.35">
      <c r="A27">
        <v>1076</v>
      </c>
      <c r="B27" s="1">
        <v>45276</v>
      </c>
      <c r="C27" t="s">
        <v>32</v>
      </c>
      <c r="D27" t="s">
        <v>30</v>
      </c>
      <c r="E27">
        <v>7160.75</v>
      </c>
      <c r="F27">
        <v>30</v>
      </c>
      <c r="G27" t="s">
        <v>26</v>
      </c>
      <c r="H27">
        <v>3519.63</v>
      </c>
      <c r="I27">
        <v>3774.65</v>
      </c>
      <c r="J27" t="s">
        <v>27</v>
      </c>
      <c r="K27">
        <v>0.2</v>
      </c>
      <c r="L27" t="s">
        <v>28</v>
      </c>
      <c r="M27" t="s">
        <v>21</v>
      </c>
      <c r="N27" t="str">
        <f t="shared" si="0"/>
        <v>East-Eve</v>
      </c>
      <c r="O27">
        <f t="shared" si="1"/>
        <v>105588.90000000001</v>
      </c>
      <c r="P27">
        <f t="shared" si="2"/>
        <v>113239.5</v>
      </c>
      <c r="Q27">
        <f t="shared" si="3"/>
        <v>7650.5999999999913</v>
      </c>
      <c r="R27">
        <f t="shared" si="4"/>
        <v>6.7561230842594604</v>
      </c>
    </row>
    <row r="28" spans="1:18" x14ac:dyDescent="0.35">
      <c r="A28">
        <v>1058</v>
      </c>
      <c r="B28" s="1">
        <v>45021</v>
      </c>
      <c r="C28" t="s">
        <v>33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25</v>
      </c>
      <c r="M28" t="s">
        <v>21</v>
      </c>
      <c r="N28" t="str">
        <f t="shared" si="0"/>
        <v>North-Alice</v>
      </c>
      <c r="O28">
        <f t="shared" si="1"/>
        <v>33384.449999999997</v>
      </c>
      <c r="P28">
        <f t="shared" si="2"/>
        <v>35781.24</v>
      </c>
      <c r="Q28">
        <f t="shared" si="3"/>
        <v>2396.7900000000009</v>
      </c>
      <c r="R28">
        <f t="shared" si="4"/>
        <v>6.6984542738038177</v>
      </c>
    </row>
    <row r="29" spans="1:18" x14ac:dyDescent="0.35">
      <c r="A29">
        <v>1022</v>
      </c>
      <c r="B29" s="1">
        <v>45078</v>
      </c>
      <c r="C29" t="s">
        <v>22</v>
      </c>
      <c r="D29" t="s">
        <v>30</v>
      </c>
      <c r="E29">
        <v>8913.1299999999992</v>
      </c>
      <c r="F29">
        <v>9</v>
      </c>
      <c r="G29" t="s">
        <v>31</v>
      </c>
      <c r="H29">
        <v>2263.65</v>
      </c>
      <c r="I29">
        <v>2558.9499999999998</v>
      </c>
      <c r="J29" t="s">
        <v>27</v>
      </c>
      <c r="K29">
        <v>0.03</v>
      </c>
      <c r="L29" t="s">
        <v>18</v>
      </c>
      <c r="M29" t="s">
        <v>19</v>
      </c>
      <c r="N29" t="str">
        <f t="shared" si="0"/>
        <v>East-David</v>
      </c>
      <c r="O29">
        <f t="shared" si="1"/>
        <v>20372.850000000002</v>
      </c>
      <c r="P29">
        <f t="shared" si="2"/>
        <v>23030.55</v>
      </c>
      <c r="Q29">
        <f t="shared" si="3"/>
        <v>2657.6999999999971</v>
      </c>
      <c r="R29">
        <f t="shared" si="4"/>
        <v>11.539889407764893</v>
      </c>
    </row>
    <row r="30" spans="1:18" x14ac:dyDescent="0.35">
      <c r="A30">
        <v>1089</v>
      </c>
      <c r="B30" s="1">
        <v>45237</v>
      </c>
      <c r="C30" t="s">
        <v>14</v>
      </c>
      <c r="D30" t="s">
        <v>20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27</v>
      </c>
      <c r="K30">
        <v>0.17</v>
      </c>
      <c r="L30" t="s">
        <v>25</v>
      </c>
      <c r="M30" t="s">
        <v>21</v>
      </c>
      <c r="N30" t="str">
        <f t="shared" si="0"/>
        <v>West-Bob</v>
      </c>
      <c r="O30">
        <f t="shared" si="1"/>
        <v>195408.13999999998</v>
      </c>
      <c r="P30">
        <f t="shared" si="2"/>
        <v>202784.31999999954</v>
      </c>
      <c r="Q30">
        <f t="shared" si="3"/>
        <v>7376.1799999995565</v>
      </c>
      <c r="R30">
        <f t="shared" si="4"/>
        <v>3.6374508640508165</v>
      </c>
    </row>
    <row r="31" spans="1:18" x14ac:dyDescent="0.35">
      <c r="A31">
        <v>1049</v>
      </c>
      <c r="B31" s="1">
        <v>45063</v>
      </c>
      <c r="C31" t="s">
        <v>33</v>
      </c>
      <c r="D31" t="s">
        <v>20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25</v>
      </c>
      <c r="M31" t="s">
        <v>19</v>
      </c>
      <c r="N31" t="str">
        <f t="shared" si="0"/>
        <v>West-Alice</v>
      </c>
      <c r="O31">
        <f t="shared" si="1"/>
        <v>3290.89</v>
      </c>
      <c r="P31">
        <f t="shared" si="2"/>
        <v>3317.75</v>
      </c>
      <c r="Q31">
        <f t="shared" si="3"/>
        <v>26.860000000000127</v>
      </c>
      <c r="R31">
        <f t="shared" si="4"/>
        <v>0.80958480898199459</v>
      </c>
    </row>
    <row r="32" spans="1:18" x14ac:dyDescent="0.35">
      <c r="A32">
        <v>1091</v>
      </c>
      <c r="B32" s="1">
        <v>45173</v>
      </c>
      <c r="C32" t="s">
        <v>29</v>
      </c>
      <c r="D32" t="s">
        <v>23</v>
      </c>
      <c r="E32">
        <v>675.11</v>
      </c>
      <c r="F32">
        <v>44</v>
      </c>
      <c r="G32" t="s">
        <v>24</v>
      </c>
      <c r="H32">
        <v>2085.46</v>
      </c>
      <c r="I32">
        <v>2406.58</v>
      </c>
      <c r="J32" t="s">
        <v>17</v>
      </c>
      <c r="K32">
        <v>0.06</v>
      </c>
      <c r="L32" t="s">
        <v>25</v>
      </c>
      <c r="M32" t="s">
        <v>21</v>
      </c>
      <c r="N32" t="str">
        <f t="shared" si="0"/>
        <v>South-Charlie</v>
      </c>
      <c r="O32">
        <f t="shared" si="1"/>
        <v>91760.24</v>
      </c>
      <c r="P32">
        <f t="shared" si="2"/>
        <v>105889.51999999999</v>
      </c>
      <c r="Q32">
        <f t="shared" si="3"/>
        <v>14129.279999999984</v>
      </c>
      <c r="R32">
        <f t="shared" si="4"/>
        <v>13.343416798942883</v>
      </c>
    </row>
    <row r="33" spans="1:18" x14ac:dyDescent="0.35">
      <c r="A33">
        <v>1059</v>
      </c>
      <c r="B33" s="1">
        <v>45169</v>
      </c>
      <c r="C33" t="s">
        <v>33</v>
      </c>
      <c r="D33" t="s">
        <v>15</v>
      </c>
      <c r="E33">
        <v>1203.97</v>
      </c>
      <c r="F33">
        <v>35</v>
      </c>
      <c r="G33" t="s">
        <v>24</v>
      </c>
      <c r="H33">
        <v>3333.64</v>
      </c>
      <c r="I33">
        <v>3764.52</v>
      </c>
      <c r="J33" t="s">
        <v>17</v>
      </c>
      <c r="K33">
        <v>0.02</v>
      </c>
      <c r="L33" t="s">
        <v>28</v>
      </c>
      <c r="M33" t="s">
        <v>19</v>
      </c>
      <c r="N33" t="str">
        <f t="shared" si="0"/>
        <v>North-Alice</v>
      </c>
      <c r="O33">
        <f t="shared" si="1"/>
        <v>116677.4</v>
      </c>
      <c r="P33">
        <f t="shared" si="2"/>
        <v>131758.20000000001</v>
      </c>
      <c r="Q33">
        <f t="shared" si="3"/>
        <v>15080.800000000017</v>
      </c>
      <c r="R33">
        <f t="shared" si="4"/>
        <v>11.445815137122407</v>
      </c>
    </row>
    <row r="34" spans="1:18" x14ac:dyDescent="0.35">
      <c r="A34">
        <v>1042</v>
      </c>
      <c r="B34" s="1">
        <v>44957</v>
      </c>
      <c r="C34" t="s">
        <v>33</v>
      </c>
      <c r="D34" t="s">
        <v>15</v>
      </c>
      <c r="E34">
        <v>5207.03</v>
      </c>
      <c r="F34">
        <v>11</v>
      </c>
      <c r="G34" t="s">
        <v>24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tr">
        <f t="shared" si="0"/>
        <v>North-Alice</v>
      </c>
      <c r="O34">
        <f t="shared" si="1"/>
        <v>6987.2000000000007</v>
      </c>
      <c r="P34">
        <f t="shared" si="2"/>
        <v>8955.5399999999991</v>
      </c>
      <c r="Q34">
        <f t="shared" si="3"/>
        <v>1968.3399999999983</v>
      </c>
      <c r="R34">
        <f t="shared" si="4"/>
        <v>21.979020807232157</v>
      </c>
    </row>
    <row r="35" spans="1:18" x14ac:dyDescent="0.35">
      <c r="A35">
        <v>1092</v>
      </c>
      <c r="B35" s="1">
        <v>44966</v>
      </c>
      <c r="C35" t="s">
        <v>22</v>
      </c>
      <c r="D35" t="s">
        <v>20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27</v>
      </c>
      <c r="K35">
        <v>0.3</v>
      </c>
      <c r="L35" t="s">
        <v>28</v>
      </c>
      <c r="M35" t="s">
        <v>19</v>
      </c>
      <c r="N35" t="str">
        <f t="shared" si="0"/>
        <v>West-David</v>
      </c>
      <c r="O35">
        <f t="shared" si="1"/>
        <v>69271.94</v>
      </c>
      <c r="P35">
        <f t="shared" si="2"/>
        <v>76114.100000000006</v>
      </c>
      <c r="Q35">
        <f t="shared" si="3"/>
        <v>6842.1600000000035</v>
      </c>
      <c r="R35">
        <f t="shared" si="4"/>
        <v>8.9893462577892969</v>
      </c>
    </row>
    <row r="36" spans="1:18" x14ac:dyDescent="0.35">
      <c r="A36">
        <v>1060</v>
      </c>
      <c r="B36" s="1">
        <v>45155</v>
      </c>
      <c r="C36" t="s">
        <v>14</v>
      </c>
      <c r="D36" t="s">
        <v>30</v>
      </c>
      <c r="E36">
        <v>8371.25</v>
      </c>
      <c r="F36">
        <v>16</v>
      </c>
      <c r="G36" t="s">
        <v>26</v>
      </c>
      <c r="H36">
        <v>3975.99</v>
      </c>
      <c r="I36">
        <v>4422.59</v>
      </c>
      <c r="J36" t="s">
        <v>27</v>
      </c>
      <c r="K36">
        <v>0.24</v>
      </c>
      <c r="L36" t="s">
        <v>18</v>
      </c>
      <c r="M36" t="s">
        <v>19</v>
      </c>
      <c r="N36" t="str">
        <f t="shared" si="0"/>
        <v>East-Bob</v>
      </c>
      <c r="O36">
        <f t="shared" si="1"/>
        <v>63615.839999999997</v>
      </c>
      <c r="P36">
        <f t="shared" si="2"/>
        <v>70761.440000000002</v>
      </c>
      <c r="Q36">
        <f t="shared" si="3"/>
        <v>7145.6000000000058</v>
      </c>
      <c r="R36">
        <f t="shared" si="4"/>
        <v>10.098155153428202</v>
      </c>
    </row>
    <row r="37" spans="1:18" x14ac:dyDescent="0.35">
      <c r="A37">
        <v>1080</v>
      </c>
      <c r="B37" s="1">
        <v>44962</v>
      </c>
      <c r="C37" t="s">
        <v>29</v>
      </c>
      <c r="D37" t="s">
        <v>23</v>
      </c>
      <c r="E37">
        <v>245.46</v>
      </c>
      <c r="F37">
        <v>9</v>
      </c>
      <c r="G37" t="s">
        <v>31</v>
      </c>
      <c r="H37">
        <v>1141.52</v>
      </c>
      <c r="I37">
        <v>1550.19</v>
      </c>
      <c r="J37" t="s">
        <v>27</v>
      </c>
      <c r="K37">
        <v>0.28000000000000003</v>
      </c>
      <c r="L37" t="s">
        <v>28</v>
      </c>
      <c r="M37" t="s">
        <v>21</v>
      </c>
      <c r="N37" t="str">
        <f t="shared" si="0"/>
        <v>South-Charlie</v>
      </c>
      <c r="O37">
        <f t="shared" si="1"/>
        <v>10273.68</v>
      </c>
      <c r="P37">
        <f t="shared" si="2"/>
        <v>13951.710000000001</v>
      </c>
      <c r="Q37">
        <f t="shared" si="3"/>
        <v>3678.0300000000007</v>
      </c>
      <c r="R37">
        <f t="shared" si="4"/>
        <v>26.362574910172302</v>
      </c>
    </row>
    <row r="38" spans="1:18" x14ac:dyDescent="0.35">
      <c r="A38">
        <v>1015</v>
      </c>
      <c r="B38" s="1">
        <v>45149</v>
      </c>
      <c r="C38" t="s">
        <v>32</v>
      </c>
      <c r="D38" t="s">
        <v>30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21</v>
      </c>
      <c r="N38" t="str">
        <f t="shared" si="0"/>
        <v>East-Eve</v>
      </c>
      <c r="O38">
        <f t="shared" si="1"/>
        <v>31056.32</v>
      </c>
      <c r="P38">
        <f t="shared" si="2"/>
        <v>42586.879999999997</v>
      </c>
      <c r="Q38">
        <f t="shared" si="3"/>
        <v>11530.559999999998</v>
      </c>
      <c r="R38">
        <f t="shared" si="4"/>
        <v>27.075380962399681</v>
      </c>
    </row>
    <row r="39" spans="1:18" x14ac:dyDescent="0.35">
      <c r="A39">
        <v>1062</v>
      </c>
      <c r="B39" s="1">
        <v>44932</v>
      </c>
      <c r="C39" t="s">
        <v>32</v>
      </c>
      <c r="D39" t="s">
        <v>30</v>
      </c>
      <c r="E39">
        <v>3439.72</v>
      </c>
      <c r="F39">
        <v>15</v>
      </c>
      <c r="G39" t="s">
        <v>26</v>
      </c>
      <c r="H39">
        <v>4756.55</v>
      </c>
      <c r="I39">
        <v>4888.46</v>
      </c>
      <c r="J39" t="s">
        <v>27</v>
      </c>
      <c r="K39">
        <v>0.28999999999999998</v>
      </c>
      <c r="L39" t="s">
        <v>28</v>
      </c>
      <c r="M39" t="s">
        <v>19</v>
      </c>
      <c r="N39" t="str">
        <f t="shared" si="0"/>
        <v>East-Eve</v>
      </c>
      <c r="O39">
        <f t="shared" si="1"/>
        <v>71348.25</v>
      </c>
      <c r="P39">
        <f t="shared" si="2"/>
        <v>73326.899999999994</v>
      </c>
      <c r="Q39">
        <f t="shared" si="3"/>
        <v>1978.6499999999942</v>
      </c>
      <c r="R39">
        <f t="shared" si="4"/>
        <v>2.6983958138145678</v>
      </c>
    </row>
    <row r="40" spans="1:18" x14ac:dyDescent="0.35">
      <c r="A40">
        <v>1062</v>
      </c>
      <c r="B40" s="1">
        <v>45248</v>
      </c>
      <c r="C40" t="s">
        <v>33</v>
      </c>
      <c r="D40" t="s">
        <v>30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25</v>
      </c>
      <c r="M40" t="s">
        <v>21</v>
      </c>
      <c r="N40" t="str">
        <f t="shared" si="0"/>
        <v>East-Alice</v>
      </c>
      <c r="O40">
        <f t="shared" si="1"/>
        <v>13067.880000000001</v>
      </c>
      <c r="P40">
        <f t="shared" si="2"/>
        <v>18540</v>
      </c>
      <c r="Q40">
        <f t="shared" si="3"/>
        <v>5472.119999999999</v>
      </c>
      <c r="R40">
        <f t="shared" si="4"/>
        <v>29.515210355987048</v>
      </c>
    </row>
    <row r="41" spans="1:18" x14ac:dyDescent="0.35">
      <c r="A41">
        <v>1047</v>
      </c>
      <c r="B41" s="1">
        <v>45146</v>
      </c>
      <c r="C41" t="s">
        <v>22</v>
      </c>
      <c r="D41" t="s">
        <v>15</v>
      </c>
      <c r="E41">
        <v>1331.25</v>
      </c>
      <c r="F41">
        <v>33</v>
      </c>
      <c r="G41" t="s">
        <v>31</v>
      </c>
      <c r="H41">
        <v>1341.55</v>
      </c>
      <c r="I41">
        <v>1427.21</v>
      </c>
      <c r="J41" t="s">
        <v>17</v>
      </c>
      <c r="K41">
        <v>0.15</v>
      </c>
      <c r="L41" t="s">
        <v>28</v>
      </c>
      <c r="M41" t="s">
        <v>19</v>
      </c>
      <c r="N41" t="str">
        <f t="shared" si="0"/>
        <v>North-David</v>
      </c>
      <c r="O41">
        <f t="shared" si="1"/>
        <v>44271.15</v>
      </c>
      <c r="P41">
        <f t="shared" si="2"/>
        <v>47097.93</v>
      </c>
      <c r="Q41">
        <f t="shared" si="3"/>
        <v>2826.7799999999988</v>
      </c>
      <c r="R41">
        <f t="shared" si="4"/>
        <v>6.001919829597604</v>
      </c>
    </row>
    <row r="42" spans="1:18" x14ac:dyDescent="0.35">
      <c r="A42">
        <v>1062</v>
      </c>
      <c r="B42" s="1">
        <v>45001</v>
      </c>
      <c r="C42" t="s">
        <v>22</v>
      </c>
      <c r="D42" t="s">
        <v>20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28</v>
      </c>
      <c r="M42" t="s">
        <v>19</v>
      </c>
      <c r="N42" t="str">
        <f t="shared" si="0"/>
        <v>West-David</v>
      </c>
      <c r="O42">
        <f t="shared" si="1"/>
        <v>218232.00000000003</v>
      </c>
      <c r="P42">
        <f t="shared" si="2"/>
        <v>232502.40000000002</v>
      </c>
      <c r="Q42">
        <f t="shared" si="3"/>
        <v>14270.399999999994</v>
      </c>
      <c r="R42">
        <f t="shared" si="4"/>
        <v>6.1377430942648301</v>
      </c>
    </row>
    <row r="43" spans="1:18" x14ac:dyDescent="0.35">
      <c r="A43">
        <v>1051</v>
      </c>
      <c r="B43" s="1">
        <v>44930</v>
      </c>
      <c r="C43" t="s">
        <v>32</v>
      </c>
      <c r="D43" t="s">
        <v>15</v>
      </c>
      <c r="E43">
        <v>4979.3599999999997</v>
      </c>
      <c r="F43">
        <v>14</v>
      </c>
      <c r="G43" t="s">
        <v>31</v>
      </c>
      <c r="H43">
        <v>3686.81</v>
      </c>
      <c r="I43">
        <v>3710.92</v>
      </c>
      <c r="J43" t="s">
        <v>27</v>
      </c>
      <c r="K43">
        <v>0.1</v>
      </c>
      <c r="L43" t="s">
        <v>25</v>
      </c>
      <c r="M43" t="s">
        <v>21</v>
      </c>
      <c r="N43" t="str">
        <f t="shared" si="0"/>
        <v>North-Eve</v>
      </c>
      <c r="O43">
        <f t="shared" si="1"/>
        <v>51615.34</v>
      </c>
      <c r="P43">
        <f t="shared" si="2"/>
        <v>51952.880000000005</v>
      </c>
      <c r="Q43">
        <f t="shared" si="3"/>
        <v>337.54000000000815</v>
      </c>
      <c r="R43">
        <f t="shared" si="4"/>
        <v>0.64970411649942816</v>
      </c>
    </row>
    <row r="44" spans="1:18" x14ac:dyDescent="0.35">
      <c r="A44">
        <v>1055</v>
      </c>
      <c r="B44" s="1">
        <v>45261</v>
      </c>
      <c r="C44" t="s">
        <v>29</v>
      </c>
      <c r="D44" t="s">
        <v>20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25</v>
      </c>
      <c r="M44" t="s">
        <v>19</v>
      </c>
      <c r="N44" t="str">
        <f t="shared" si="0"/>
        <v>West-Charlie</v>
      </c>
      <c r="O44">
        <f t="shared" si="1"/>
        <v>28104</v>
      </c>
      <c r="P44">
        <f t="shared" si="2"/>
        <v>30707.360000000001</v>
      </c>
      <c r="Q44">
        <f t="shared" si="3"/>
        <v>2603.3600000000006</v>
      </c>
      <c r="R44">
        <f t="shared" si="4"/>
        <v>8.4779674970430552</v>
      </c>
    </row>
    <row r="45" spans="1:18" x14ac:dyDescent="0.35">
      <c r="A45">
        <v>1064</v>
      </c>
      <c r="B45" s="1">
        <v>45060</v>
      </c>
      <c r="C45" t="s">
        <v>14</v>
      </c>
      <c r="D45" t="s">
        <v>23</v>
      </c>
      <c r="E45">
        <v>5356.28</v>
      </c>
      <c r="F45">
        <v>8</v>
      </c>
      <c r="G45" t="s">
        <v>31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tr">
        <f t="shared" si="0"/>
        <v>South-Bob</v>
      </c>
      <c r="O45">
        <f t="shared" si="1"/>
        <v>34175.919999999998</v>
      </c>
      <c r="P45">
        <f t="shared" si="2"/>
        <v>35342.32</v>
      </c>
      <c r="Q45">
        <f t="shared" si="3"/>
        <v>1166.4000000000015</v>
      </c>
      <c r="R45">
        <f t="shared" si="4"/>
        <v>3.3002926802767942</v>
      </c>
    </row>
    <row r="46" spans="1:18" x14ac:dyDescent="0.35">
      <c r="A46">
        <v>1003</v>
      </c>
      <c r="B46" s="1">
        <v>45044</v>
      </c>
      <c r="C46" t="s">
        <v>29</v>
      </c>
      <c r="D46" t="s">
        <v>23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tr">
        <f t="shared" si="0"/>
        <v>South-Charlie</v>
      </c>
      <c r="O46">
        <f t="shared" si="1"/>
        <v>16829.640000000003</v>
      </c>
      <c r="P46">
        <f t="shared" si="2"/>
        <v>23048.82</v>
      </c>
      <c r="Q46">
        <f t="shared" si="3"/>
        <v>6219.1799999999967</v>
      </c>
      <c r="R46">
        <f t="shared" si="4"/>
        <v>26.98263945833234</v>
      </c>
    </row>
    <row r="47" spans="1:18" x14ac:dyDescent="0.35">
      <c r="A47">
        <v>1051</v>
      </c>
      <c r="B47" s="1">
        <v>45020</v>
      </c>
      <c r="C47" t="s">
        <v>14</v>
      </c>
      <c r="D47" t="s">
        <v>30</v>
      </c>
      <c r="E47">
        <v>198.25</v>
      </c>
      <c r="F47">
        <v>12</v>
      </c>
      <c r="G47" t="s">
        <v>31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tr">
        <f t="shared" si="0"/>
        <v>East-Bob</v>
      </c>
      <c r="O47">
        <f t="shared" si="1"/>
        <v>42533.760000000002</v>
      </c>
      <c r="P47">
        <f t="shared" si="2"/>
        <v>44683.92</v>
      </c>
      <c r="Q47">
        <f t="shared" si="3"/>
        <v>2150.1599999999962</v>
      </c>
      <c r="R47">
        <f t="shared" si="4"/>
        <v>4.8119323461325605</v>
      </c>
    </row>
    <row r="48" spans="1:18" x14ac:dyDescent="0.35">
      <c r="A48">
        <v>1007</v>
      </c>
      <c r="B48" s="1">
        <v>44988</v>
      </c>
      <c r="C48" t="s">
        <v>32</v>
      </c>
      <c r="D48" t="s">
        <v>20</v>
      </c>
      <c r="E48">
        <v>4694.54</v>
      </c>
      <c r="F48">
        <v>1</v>
      </c>
      <c r="G48" t="s">
        <v>24</v>
      </c>
      <c r="H48">
        <v>2543.2600000000002</v>
      </c>
      <c r="I48">
        <v>2637.91</v>
      </c>
      <c r="J48" t="s">
        <v>17</v>
      </c>
      <c r="K48">
        <v>0.2</v>
      </c>
      <c r="L48" t="s">
        <v>28</v>
      </c>
      <c r="M48" t="s">
        <v>19</v>
      </c>
      <c r="N48" t="str">
        <f t="shared" si="0"/>
        <v>West-Eve</v>
      </c>
      <c r="O48">
        <f t="shared" si="1"/>
        <v>2543.2600000000002</v>
      </c>
      <c r="P48">
        <f t="shared" si="2"/>
        <v>2637.91</v>
      </c>
      <c r="Q48">
        <f t="shared" si="3"/>
        <v>94.649999999999636</v>
      </c>
      <c r="R48">
        <f t="shared" si="4"/>
        <v>3.5880678264231776</v>
      </c>
    </row>
    <row r="49" spans="1:18" x14ac:dyDescent="0.35">
      <c r="A49">
        <v>1021</v>
      </c>
      <c r="B49" s="1">
        <v>45120</v>
      </c>
      <c r="C49" t="s">
        <v>14</v>
      </c>
      <c r="D49" t="s">
        <v>20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21</v>
      </c>
      <c r="N49" t="str">
        <f t="shared" si="0"/>
        <v>West-Bob</v>
      </c>
      <c r="O49">
        <f t="shared" si="1"/>
        <v>178634.9</v>
      </c>
      <c r="P49">
        <f t="shared" si="2"/>
        <v>192170.00999999998</v>
      </c>
      <c r="Q49">
        <f t="shared" si="3"/>
        <v>13535.109999999986</v>
      </c>
      <c r="R49">
        <f t="shared" si="4"/>
        <v>7.0432998364312871</v>
      </c>
    </row>
    <row r="50" spans="1:18" x14ac:dyDescent="0.35">
      <c r="A50">
        <v>1073</v>
      </c>
      <c r="B50" s="1">
        <v>45261</v>
      </c>
      <c r="C50" t="s">
        <v>22</v>
      </c>
      <c r="D50" t="s">
        <v>20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28</v>
      </c>
      <c r="M50" t="s">
        <v>21</v>
      </c>
      <c r="N50" t="str">
        <f t="shared" si="0"/>
        <v>West-David</v>
      </c>
      <c r="O50">
        <f t="shared" si="1"/>
        <v>102612</v>
      </c>
      <c r="P50">
        <f t="shared" si="2"/>
        <v>120298.79999999999</v>
      </c>
      <c r="Q50">
        <f t="shared" si="3"/>
        <v>17686.799999999988</v>
      </c>
      <c r="R50">
        <f t="shared" si="4"/>
        <v>14.70239104629472</v>
      </c>
    </row>
    <row r="51" spans="1:18" x14ac:dyDescent="0.35">
      <c r="A51">
        <v>1039</v>
      </c>
      <c r="B51" s="1">
        <v>45129</v>
      </c>
      <c r="C51" t="s">
        <v>33</v>
      </c>
      <c r="D51" t="s">
        <v>30</v>
      </c>
      <c r="E51">
        <v>6807.67</v>
      </c>
      <c r="F51">
        <v>42</v>
      </c>
      <c r="G51" t="s">
        <v>26</v>
      </c>
      <c r="H51">
        <v>3120.19</v>
      </c>
      <c r="I51">
        <v>3600.14</v>
      </c>
      <c r="J51" t="s">
        <v>17</v>
      </c>
      <c r="K51">
        <v>0.19</v>
      </c>
      <c r="L51" t="s">
        <v>28</v>
      </c>
      <c r="M51" t="s">
        <v>21</v>
      </c>
      <c r="N51" t="str">
        <f t="shared" si="0"/>
        <v>East-Alice</v>
      </c>
      <c r="O51">
        <f t="shared" si="1"/>
        <v>131047.98</v>
      </c>
      <c r="P51">
        <f t="shared" si="2"/>
        <v>151205.88</v>
      </c>
      <c r="Q51">
        <f t="shared" si="3"/>
        <v>20157.900000000009</v>
      </c>
      <c r="R51">
        <f t="shared" si="4"/>
        <v>13.331426000100002</v>
      </c>
    </row>
    <row r="52" spans="1:18" x14ac:dyDescent="0.35">
      <c r="A52">
        <v>1018</v>
      </c>
      <c r="B52" s="1">
        <v>44952</v>
      </c>
      <c r="C52" t="s">
        <v>33</v>
      </c>
      <c r="D52" t="s">
        <v>30</v>
      </c>
      <c r="E52">
        <v>3187.45</v>
      </c>
      <c r="F52">
        <v>11</v>
      </c>
      <c r="G52" t="s">
        <v>26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tr">
        <f t="shared" si="0"/>
        <v>East-Alice</v>
      </c>
      <c r="O52">
        <f t="shared" si="1"/>
        <v>26563.02</v>
      </c>
      <c r="P52">
        <f t="shared" si="2"/>
        <v>27709.77</v>
      </c>
      <c r="Q52">
        <f t="shared" si="3"/>
        <v>1146.75</v>
      </c>
      <c r="R52">
        <f t="shared" si="4"/>
        <v>4.1384320403958608</v>
      </c>
    </row>
    <row r="53" spans="1:18" x14ac:dyDescent="0.35">
      <c r="A53">
        <v>1004</v>
      </c>
      <c r="B53" s="1">
        <v>45099</v>
      </c>
      <c r="C53" t="s">
        <v>32</v>
      </c>
      <c r="D53" t="s">
        <v>23</v>
      </c>
      <c r="E53">
        <v>7762.51</v>
      </c>
      <c r="F53">
        <v>39</v>
      </c>
      <c r="G53" t="s">
        <v>31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tr">
        <f t="shared" si="0"/>
        <v>South-Eve</v>
      </c>
      <c r="O53">
        <f t="shared" si="1"/>
        <v>94258.709999999992</v>
      </c>
      <c r="P53">
        <f t="shared" si="2"/>
        <v>108357.59999999961</v>
      </c>
      <c r="Q53">
        <f t="shared" si="3"/>
        <v>14098.889999999621</v>
      </c>
      <c r="R53">
        <f t="shared" si="4"/>
        <v>13.011445436221983</v>
      </c>
    </row>
    <row r="54" spans="1:18" x14ac:dyDescent="0.35">
      <c r="A54">
        <v>1089</v>
      </c>
      <c r="B54" s="1">
        <v>45226</v>
      </c>
      <c r="C54" t="s">
        <v>22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28</v>
      </c>
      <c r="M54" t="s">
        <v>19</v>
      </c>
      <c r="N54" t="str">
        <f t="shared" si="0"/>
        <v>North-David</v>
      </c>
      <c r="O54">
        <f t="shared" si="1"/>
        <v>165612.35</v>
      </c>
      <c r="P54">
        <f t="shared" si="2"/>
        <v>180040.13999999998</v>
      </c>
      <c r="Q54">
        <f t="shared" si="3"/>
        <v>14427.789999999979</v>
      </c>
      <c r="R54">
        <f t="shared" si="4"/>
        <v>8.0136518445275495</v>
      </c>
    </row>
    <row r="55" spans="1:18" x14ac:dyDescent="0.35">
      <c r="A55">
        <v>1060</v>
      </c>
      <c r="B55" s="1">
        <v>45059</v>
      </c>
      <c r="C55" t="s">
        <v>29</v>
      </c>
      <c r="D55" t="s">
        <v>20</v>
      </c>
      <c r="E55">
        <v>5260.83</v>
      </c>
      <c r="F55">
        <v>31</v>
      </c>
      <c r="G55" t="s">
        <v>31</v>
      </c>
      <c r="H55">
        <v>3161.4</v>
      </c>
      <c r="I55">
        <v>3339.66</v>
      </c>
      <c r="J55" t="s">
        <v>17</v>
      </c>
      <c r="K55">
        <v>0.02</v>
      </c>
      <c r="L55" t="s">
        <v>25</v>
      </c>
      <c r="M55" t="s">
        <v>19</v>
      </c>
      <c r="N55" t="str">
        <f t="shared" si="0"/>
        <v>West-Charlie</v>
      </c>
      <c r="O55">
        <f t="shared" si="1"/>
        <v>98003.400000000009</v>
      </c>
      <c r="P55">
        <f t="shared" si="2"/>
        <v>103529.45999999999</v>
      </c>
      <c r="Q55">
        <f t="shared" si="3"/>
        <v>5526.0599999999831</v>
      </c>
      <c r="R55">
        <f t="shared" si="4"/>
        <v>5.3376691040405158</v>
      </c>
    </row>
    <row r="56" spans="1:18" x14ac:dyDescent="0.35">
      <c r="A56">
        <v>1014</v>
      </c>
      <c r="B56" s="1">
        <v>45252</v>
      </c>
      <c r="C56" t="s">
        <v>22</v>
      </c>
      <c r="D56" t="s">
        <v>20</v>
      </c>
      <c r="E56">
        <v>9762.5400000000009</v>
      </c>
      <c r="F56">
        <v>17</v>
      </c>
      <c r="G56" t="s">
        <v>24</v>
      </c>
      <c r="H56">
        <v>3184.65</v>
      </c>
      <c r="I56">
        <v>3204.01</v>
      </c>
      <c r="J56" t="s">
        <v>27</v>
      </c>
      <c r="K56">
        <v>0.2</v>
      </c>
      <c r="L56" t="s">
        <v>25</v>
      </c>
      <c r="M56" t="s">
        <v>19</v>
      </c>
      <c r="N56" t="str">
        <f t="shared" si="0"/>
        <v>West-David</v>
      </c>
      <c r="O56">
        <f t="shared" si="1"/>
        <v>54139.05</v>
      </c>
      <c r="P56">
        <f t="shared" si="2"/>
        <v>54468.170000000006</v>
      </c>
      <c r="Q56">
        <f t="shared" si="3"/>
        <v>329.12000000000262</v>
      </c>
      <c r="R56">
        <f t="shared" si="4"/>
        <v>0.60424280823094034</v>
      </c>
    </row>
    <row r="57" spans="1:18" x14ac:dyDescent="0.35">
      <c r="A57">
        <v>1009</v>
      </c>
      <c r="B57" s="1">
        <v>45044</v>
      </c>
      <c r="C57" t="s">
        <v>33</v>
      </c>
      <c r="D57" t="s">
        <v>15</v>
      </c>
      <c r="E57">
        <v>1342.95</v>
      </c>
      <c r="F57">
        <v>33</v>
      </c>
      <c r="G57" t="s">
        <v>26</v>
      </c>
      <c r="H57">
        <v>2278.9</v>
      </c>
      <c r="I57">
        <v>2626.9</v>
      </c>
      <c r="J57" t="s">
        <v>27</v>
      </c>
      <c r="K57">
        <v>0.05</v>
      </c>
      <c r="L57" t="s">
        <v>28</v>
      </c>
      <c r="M57" t="s">
        <v>19</v>
      </c>
      <c r="N57" t="str">
        <f t="shared" si="0"/>
        <v>North-Alice</v>
      </c>
      <c r="O57">
        <f t="shared" si="1"/>
        <v>75203.7</v>
      </c>
      <c r="P57">
        <f t="shared" si="2"/>
        <v>86687.7</v>
      </c>
      <c r="Q57">
        <f t="shared" si="3"/>
        <v>11484</v>
      </c>
      <c r="R57">
        <f t="shared" si="4"/>
        <v>13.247554151280976</v>
      </c>
    </row>
    <row r="58" spans="1:18" x14ac:dyDescent="0.35">
      <c r="A58">
        <v>1090</v>
      </c>
      <c r="B58" s="1">
        <v>45250</v>
      </c>
      <c r="C58" t="s">
        <v>33</v>
      </c>
      <c r="D58" t="s">
        <v>20</v>
      </c>
      <c r="E58">
        <v>267.77999999999997</v>
      </c>
      <c r="F58">
        <v>32</v>
      </c>
      <c r="G58" t="s">
        <v>31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21</v>
      </c>
      <c r="N58" t="str">
        <f t="shared" si="0"/>
        <v>West-Alice</v>
      </c>
      <c r="O58">
        <f t="shared" si="1"/>
        <v>85727.679999999993</v>
      </c>
      <c r="P58">
        <f t="shared" si="2"/>
        <v>100872.95999999969</v>
      </c>
      <c r="Q58">
        <f t="shared" si="3"/>
        <v>15145.279999999693</v>
      </c>
      <c r="R58">
        <f t="shared" si="4"/>
        <v>15.014211935487706</v>
      </c>
    </row>
    <row r="59" spans="1:18" x14ac:dyDescent="0.35">
      <c r="A59">
        <v>1053</v>
      </c>
      <c r="B59" s="1">
        <v>45201</v>
      </c>
      <c r="C59" t="s">
        <v>22</v>
      </c>
      <c r="D59" t="s">
        <v>30</v>
      </c>
      <c r="E59">
        <v>7724.57</v>
      </c>
      <c r="F59">
        <v>29</v>
      </c>
      <c r="G59" t="s">
        <v>31</v>
      </c>
      <c r="H59">
        <v>3741.3</v>
      </c>
      <c r="I59">
        <v>4061.04</v>
      </c>
      <c r="J59" t="s">
        <v>17</v>
      </c>
      <c r="K59">
        <v>0.21</v>
      </c>
      <c r="L59" t="s">
        <v>28</v>
      </c>
      <c r="M59" t="s">
        <v>19</v>
      </c>
      <c r="N59" t="str">
        <f t="shared" si="0"/>
        <v>East-David</v>
      </c>
      <c r="O59">
        <f t="shared" si="1"/>
        <v>108497.70000000001</v>
      </c>
      <c r="P59">
        <f t="shared" si="2"/>
        <v>117770.16</v>
      </c>
      <c r="Q59">
        <f t="shared" si="3"/>
        <v>9272.4599999999919</v>
      </c>
      <c r="R59">
        <f t="shared" si="4"/>
        <v>7.8733526387329276</v>
      </c>
    </row>
    <row r="60" spans="1:18" x14ac:dyDescent="0.35">
      <c r="A60">
        <v>1002</v>
      </c>
      <c r="B60" s="1">
        <v>45138</v>
      </c>
      <c r="C60" t="s">
        <v>22</v>
      </c>
      <c r="D60" t="s">
        <v>30</v>
      </c>
      <c r="E60">
        <v>8090.84</v>
      </c>
      <c r="F60">
        <v>21</v>
      </c>
      <c r="G60" t="s">
        <v>26</v>
      </c>
      <c r="H60">
        <v>4138.41</v>
      </c>
      <c r="I60">
        <v>4361.7</v>
      </c>
      <c r="J60" t="s">
        <v>17</v>
      </c>
      <c r="K60">
        <v>7.0000000000000007E-2</v>
      </c>
      <c r="L60" t="s">
        <v>28</v>
      </c>
      <c r="M60" t="s">
        <v>21</v>
      </c>
      <c r="N60" t="str">
        <f t="shared" si="0"/>
        <v>East-David</v>
      </c>
      <c r="O60">
        <f t="shared" si="1"/>
        <v>86906.61</v>
      </c>
      <c r="P60">
        <f t="shared" si="2"/>
        <v>91595.7</v>
      </c>
      <c r="Q60">
        <f t="shared" si="3"/>
        <v>4689.0899999999965</v>
      </c>
      <c r="R60">
        <f t="shared" si="4"/>
        <v>5.119334204553267</v>
      </c>
    </row>
    <row r="61" spans="1:18" x14ac:dyDescent="0.35">
      <c r="A61">
        <v>1084</v>
      </c>
      <c r="B61" s="1">
        <v>45151</v>
      </c>
      <c r="C61" t="s">
        <v>33</v>
      </c>
      <c r="D61" t="s">
        <v>20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27</v>
      </c>
      <c r="K61">
        <v>0.08</v>
      </c>
      <c r="L61" t="s">
        <v>18</v>
      </c>
      <c r="M61" t="s">
        <v>19</v>
      </c>
      <c r="N61" t="str">
        <f t="shared" si="0"/>
        <v>West-Alice</v>
      </c>
      <c r="O61">
        <f t="shared" si="1"/>
        <v>73457.58</v>
      </c>
      <c r="P61">
        <f t="shared" si="2"/>
        <v>79071.509999999995</v>
      </c>
      <c r="Q61">
        <f t="shared" si="3"/>
        <v>5613.929999999993</v>
      </c>
      <c r="R61">
        <f t="shared" si="4"/>
        <v>7.0998138267499806</v>
      </c>
    </row>
    <row r="62" spans="1:18" x14ac:dyDescent="0.35">
      <c r="A62">
        <v>1092</v>
      </c>
      <c r="B62" s="1">
        <v>44946</v>
      </c>
      <c r="C62" t="s">
        <v>29</v>
      </c>
      <c r="D62" t="s">
        <v>30</v>
      </c>
      <c r="E62">
        <v>2729.27</v>
      </c>
      <c r="F62">
        <v>40</v>
      </c>
      <c r="G62" t="s">
        <v>31</v>
      </c>
      <c r="H62">
        <v>4624.16</v>
      </c>
      <c r="I62">
        <v>4731.9799999999996</v>
      </c>
      <c r="J62" t="s">
        <v>27</v>
      </c>
      <c r="K62">
        <v>0.2</v>
      </c>
      <c r="L62" t="s">
        <v>25</v>
      </c>
      <c r="M62" t="s">
        <v>21</v>
      </c>
      <c r="N62" t="str">
        <f t="shared" si="0"/>
        <v>East-Charlie</v>
      </c>
      <c r="O62">
        <f t="shared" si="1"/>
        <v>184966.39999999999</v>
      </c>
      <c r="P62">
        <f t="shared" si="2"/>
        <v>189279.19999999998</v>
      </c>
      <c r="Q62">
        <f t="shared" si="3"/>
        <v>4312.7999999999884</v>
      </c>
      <c r="R62">
        <f t="shared" si="4"/>
        <v>2.2785387934860188</v>
      </c>
    </row>
    <row r="63" spans="1:18" x14ac:dyDescent="0.35">
      <c r="A63">
        <v>1060</v>
      </c>
      <c r="B63" s="1">
        <v>45039</v>
      </c>
      <c r="C63" t="s">
        <v>32</v>
      </c>
      <c r="D63" t="s">
        <v>30</v>
      </c>
      <c r="E63">
        <v>273.77</v>
      </c>
      <c r="F63">
        <v>23</v>
      </c>
      <c r="G63" t="s">
        <v>26</v>
      </c>
      <c r="H63">
        <v>4110.6000000000004</v>
      </c>
      <c r="I63">
        <v>4488.37</v>
      </c>
      <c r="J63" t="s">
        <v>27</v>
      </c>
      <c r="K63">
        <v>0.12</v>
      </c>
      <c r="L63" t="s">
        <v>28</v>
      </c>
      <c r="M63" t="s">
        <v>19</v>
      </c>
      <c r="N63" t="str">
        <f t="shared" si="0"/>
        <v>East-Eve</v>
      </c>
      <c r="O63">
        <f t="shared" si="1"/>
        <v>94543.8</v>
      </c>
      <c r="P63">
        <f t="shared" si="2"/>
        <v>103232.51</v>
      </c>
      <c r="Q63">
        <f t="shared" si="3"/>
        <v>8688.7099999999919</v>
      </c>
      <c r="R63">
        <f t="shared" si="4"/>
        <v>8.4166412305580796</v>
      </c>
    </row>
    <row r="64" spans="1:18" x14ac:dyDescent="0.35">
      <c r="A64">
        <v>1071</v>
      </c>
      <c r="B64" s="1">
        <v>45066</v>
      </c>
      <c r="C64" t="s">
        <v>32</v>
      </c>
      <c r="D64" t="s">
        <v>20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25</v>
      </c>
      <c r="M64" t="s">
        <v>21</v>
      </c>
      <c r="N64" t="str">
        <f t="shared" si="0"/>
        <v>West-Eve</v>
      </c>
      <c r="O64">
        <f t="shared" si="1"/>
        <v>16987.38</v>
      </c>
      <c r="P64">
        <f t="shared" si="2"/>
        <v>19241.88</v>
      </c>
      <c r="Q64">
        <f t="shared" si="3"/>
        <v>2254.5</v>
      </c>
      <c r="R64">
        <f t="shared" si="4"/>
        <v>11.716630599504828</v>
      </c>
    </row>
    <row r="65" spans="1:18" x14ac:dyDescent="0.35">
      <c r="A65">
        <v>1044</v>
      </c>
      <c r="B65" s="1">
        <v>44973</v>
      </c>
      <c r="C65" t="s">
        <v>22</v>
      </c>
      <c r="D65" t="s">
        <v>23</v>
      </c>
      <c r="E65">
        <v>7754.1</v>
      </c>
      <c r="F65">
        <v>22</v>
      </c>
      <c r="G65" t="s">
        <v>24</v>
      </c>
      <c r="H65">
        <v>3373.46</v>
      </c>
      <c r="I65">
        <v>3454.76</v>
      </c>
      <c r="J65" t="s">
        <v>17</v>
      </c>
      <c r="K65">
        <v>0.22</v>
      </c>
      <c r="L65" t="s">
        <v>25</v>
      </c>
      <c r="M65" t="s">
        <v>21</v>
      </c>
      <c r="N65" t="str">
        <f t="shared" si="0"/>
        <v>South-David</v>
      </c>
      <c r="O65">
        <f t="shared" si="1"/>
        <v>74216.12</v>
      </c>
      <c r="P65">
        <f t="shared" si="2"/>
        <v>76004.72</v>
      </c>
      <c r="Q65">
        <f t="shared" si="3"/>
        <v>1788.6000000000058</v>
      </c>
      <c r="R65">
        <f t="shared" si="4"/>
        <v>2.3532749018745225</v>
      </c>
    </row>
    <row r="66" spans="1:18" x14ac:dyDescent="0.35">
      <c r="A66">
        <v>1008</v>
      </c>
      <c r="B66" s="1">
        <v>44927</v>
      </c>
      <c r="C66" t="s">
        <v>32</v>
      </c>
      <c r="D66" t="s">
        <v>15</v>
      </c>
      <c r="E66">
        <v>5227.8100000000004</v>
      </c>
      <c r="F66">
        <v>38</v>
      </c>
      <c r="G66" t="s">
        <v>26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tr">
        <f t="shared" si="0"/>
        <v>North-Eve</v>
      </c>
      <c r="O66">
        <f t="shared" si="1"/>
        <v>176138.74</v>
      </c>
      <c r="P66">
        <f t="shared" si="2"/>
        <v>192866.71999999997</v>
      </c>
      <c r="Q66">
        <f t="shared" si="3"/>
        <v>16727.979999999981</v>
      </c>
      <c r="R66">
        <f t="shared" si="4"/>
        <v>8.6733366959317735</v>
      </c>
    </row>
    <row r="67" spans="1:18" x14ac:dyDescent="0.35">
      <c r="A67">
        <v>1047</v>
      </c>
      <c r="B67" s="1">
        <v>45016</v>
      </c>
      <c r="C67" t="s">
        <v>33</v>
      </c>
      <c r="D67" t="s">
        <v>30</v>
      </c>
      <c r="E67">
        <v>3546.15</v>
      </c>
      <c r="F67">
        <v>37</v>
      </c>
      <c r="G67" t="s">
        <v>31</v>
      </c>
      <c r="H67">
        <v>3114.88</v>
      </c>
      <c r="I67">
        <v>3256.78</v>
      </c>
      <c r="J67" t="s">
        <v>17</v>
      </c>
      <c r="K67">
        <v>0.26</v>
      </c>
      <c r="L67" t="s">
        <v>28</v>
      </c>
      <c r="M67" t="s">
        <v>19</v>
      </c>
      <c r="N67" t="str">
        <f t="shared" ref="N67:N130" si="5">D67 &amp; "-" &amp; C67</f>
        <v>East-Alice</v>
      </c>
      <c r="O67">
        <f t="shared" ref="O67:O130" si="6">F67*H67</f>
        <v>115250.56</v>
      </c>
      <c r="P67">
        <f t="shared" ref="P67:P130" si="7">F67*I67</f>
        <v>120500.86</v>
      </c>
      <c r="Q67">
        <f t="shared" ref="Q67:Q130" si="8">P67-O67</f>
        <v>5250.3000000000029</v>
      </c>
      <c r="R67">
        <f t="shared" ref="R67:R130" si="9">(Q67/P67)*100</f>
        <v>4.3570643396238031</v>
      </c>
    </row>
    <row r="68" spans="1:18" x14ac:dyDescent="0.35">
      <c r="A68">
        <v>1035</v>
      </c>
      <c r="B68" s="1">
        <v>45068</v>
      </c>
      <c r="C68" t="s">
        <v>33</v>
      </c>
      <c r="D68" t="s">
        <v>23</v>
      </c>
      <c r="E68">
        <v>3780.22</v>
      </c>
      <c r="F68">
        <v>45</v>
      </c>
      <c r="G68" t="s">
        <v>24</v>
      </c>
      <c r="H68">
        <v>4132.79</v>
      </c>
      <c r="I68">
        <v>4624.1000000000004</v>
      </c>
      <c r="J68" t="s">
        <v>27</v>
      </c>
      <c r="K68">
        <v>0.15</v>
      </c>
      <c r="L68" t="s">
        <v>28</v>
      </c>
      <c r="M68" t="s">
        <v>21</v>
      </c>
      <c r="N68" t="str">
        <f t="shared" si="5"/>
        <v>South-Alice</v>
      </c>
      <c r="O68">
        <f t="shared" si="6"/>
        <v>185975.55</v>
      </c>
      <c r="P68">
        <f t="shared" si="7"/>
        <v>208084.50000000003</v>
      </c>
      <c r="Q68">
        <f t="shared" si="8"/>
        <v>22108.950000000041</v>
      </c>
      <c r="R68">
        <f t="shared" si="9"/>
        <v>10.624986483856336</v>
      </c>
    </row>
    <row r="69" spans="1:18" x14ac:dyDescent="0.35">
      <c r="A69">
        <v>1078</v>
      </c>
      <c r="B69" s="1">
        <v>45246</v>
      </c>
      <c r="C69" t="s">
        <v>22</v>
      </c>
      <c r="D69" t="s">
        <v>30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25</v>
      </c>
      <c r="M69" t="s">
        <v>19</v>
      </c>
      <c r="N69" t="str">
        <f t="shared" si="5"/>
        <v>East-David</v>
      </c>
      <c r="O69">
        <f t="shared" si="6"/>
        <v>27676.880000000001</v>
      </c>
      <c r="P69">
        <f t="shared" si="7"/>
        <v>29257.84</v>
      </c>
      <c r="Q69">
        <f t="shared" si="8"/>
        <v>1580.9599999999991</v>
      </c>
      <c r="R69">
        <f t="shared" si="9"/>
        <v>5.4035431186991216</v>
      </c>
    </row>
    <row r="70" spans="1:18" x14ac:dyDescent="0.35">
      <c r="A70">
        <v>1081</v>
      </c>
      <c r="B70" s="1">
        <v>44964</v>
      </c>
      <c r="C70" t="s">
        <v>22</v>
      </c>
      <c r="D70" t="s">
        <v>30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27</v>
      </c>
      <c r="K70">
        <v>0.21</v>
      </c>
      <c r="L70" t="s">
        <v>25</v>
      </c>
      <c r="M70" t="s">
        <v>19</v>
      </c>
      <c r="N70" t="str">
        <f t="shared" si="5"/>
        <v>East-David</v>
      </c>
      <c r="O70">
        <f t="shared" si="6"/>
        <v>114065.28</v>
      </c>
      <c r="P70">
        <f t="shared" si="7"/>
        <v>118048.84</v>
      </c>
      <c r="Q70">
        <f t="shared" si="8"/>
        <v>3983.5599999999977</v>
      </c>
      <c r="R70">
        <f t="shared" si="9"/>
        <v>3.374501604590098</v>
      </c>
    </row>
    <row r="71" spans="1:18" x14ac:dyDescent="0.35">
      <c r="A71">
        <v>1036</v>
      </c>
      <c r="B71" s="1">
        <v>45219</v>
      </c>
      <c r="C71" t="s">
        <v>22</v>
      </c>
      <c r="D71" t="s">
        <v>15</v>
      </c>
      <c r="E71">
        <v>6499.94</v>
      </c>
      <c r="F71">
        <v>49</v>
      </c>
      <c r="G71" t="s">
        <v>26</v>
      </c>
      <c r="H71">
        <v>1247.0999999999999</v>
      </c>
      <c r="I71">
        <v>1429.4399999999901</v>
      </c>
      <c r="J71" t="s">
        <v>27</v>
      </c>
      <c r="K71">
        <v>0.16</v>
      </c>
      <c r="L71" t="s">
        <v>18</v>
      </c>
      <c r="M71" t="s">
        <v>19</v>
      </c>
      <c r="N71" t="str">
        <f t="shared" si="5"/>
        <v>North-David</v>
      </c>
      <c r="O71">
        <f t="shared" si="6"/>
        <v>61107.899999999994</v>
      </c>
      <c r="P71">
        <f t="shared" si="7"/>
        <v>70042.559999999517</v>
      </c>
      <c r="Q71">
        <f t="shared" si="8"/>
        <v>8934.6599999995233</v>
      </c>
      <c r="R71">
        <f t="shared" si="9"/>
        <v>12.756044325049775</v>
      </c>
    </row>
    <row r="72" spans="1:18" x14ac:dyDescent="0.35">
      <c r="A72">
        <v>1050</v>
      </c>
      <c r="B72" s="1">
        <v>45065</v>
      </c>
      <c r="C72" t="s">
        <v>29</v>
      </c>
      <c r="D72" t="s">
        <v>30</v>
      </c>
      <c r="E72">
        <v>9744.52</v>
      </c>
      <c r="F72">
        <v>35</v>
      </c>
      <c r="G72" t="s">
        <v>26</v>
      </c>
      <c r="H72">
        <v>2158.69</v>
      </c>
      <c r="I72">
        <v>2384.38</v>
      </c>
      <c r="J72" t="s">
        <v>17</v>
      </c>
      <c r="K72">
        <v>0.09</v>
      </c>
      <c r="L72" t="s">
        <v>25</v>
      </c>
      <c r="M72" t="s">
        <v>21</v>
      </c>
      <c r="N72" t="str">
        <f t="shared" si="5"/>
        <v>East-Charlie</v>
      </c>
      <c r="O72">
        <f t="shared" si="6"/>
        <v>75554.150000000009</v>
      </c>
      <c r="P72">
        <f t="shared" si="7"/>
        <v>83453.3</v>
      </c>
      <c r="Q72">
        <f t="shared" si="8"/>
        <v>7899.1499999999942</v>
      </c>
      <c r="R72">
        <f t="shared" si="9"/>
        <v>9.465353676846803</v>
      </c>
    </row>
    <row r="73" spans="1:18" x14ac:dyDescent="0.35">
      <c r="A73">
        <v>1004</v>
      </c>
      <c r="B73" s="1">
        <v>45282</v>
      </c>
      <c r="C73" t="s">
        <v>32</v>
      </c>
      <c r="D73" t="s">
        <v>15</v>
      </c>
      <c r="E73">
        <v>8485.9</v>
      </c>
      <c r="F73">
        <v>11</v>
      </c>
      <c r="G73" t="s">
        <v>26</v>
      </c>
      <c r="H73">
        <v>4840.33</v>
      </c>
      <c r="I73">
        <v>4884.29</v>
      </c>
      <c r="J73" t="s">
        <v>27</v>
      </c>
      <c r="K73">
        <v>0.13</v>
      </c>
      <c r="L73" t="s">
        <v>18</v>
      </c>
      <c r="M73" t="s">
        <v>19</v>
      </c>
      <c r="N73" t="str">
        <f t="shared" si="5"/>
        <v>North-Eve</v>
      </c>
      <c r="O73">
        <f t="shared" si="6"/>
        <v>53243.63</v>
      </c>
      <c r="P73">
        <f t="shared" si="7"/>
        <v>53727.19</v>
      </c>
      <c r="Q73">
        <f t="shared" si="8"/>
        <v>483.56000000000495</v>
      </c>
      <c r="R73">
        <f t="shared" si="9"/>
        <v>0.90002845858866787</v>
      </c>
    </row>
    <row r="74" spans="1:18" x14ac:dyDescent="0.35">
      <c r="A74">
        <v>1002</v>
      </c>
      <c r="B74" s="1">
        <v>45259</v>
      </c>
      <c r="C74" t="s">
        <v>22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27</v>
      </c>
      <c r="K74">
        <v>0.09</v>
      </c>
      <c r="L74" t="s">
        <v>28</v>
      </c>
      <c r="M74" t="s">
        <v>21</v>
      </c>
      <c r="N74" t="str">
        <f t="shared" si="5"/>
        <v>North-David</v>
      </c>
      <c r="O74">
        <f t="shared" si="6"/>
        <v>79342.559999999998</v>
      </c>
      <c r="P74">
        <f t="shared" si="7"/>
        <v>86382.48</v>
      </c>
      <c r="Q74">
        <f t="shared" si="8"/>
        <v>7039.9199999999983</v>
      </c>
      <c r="R74">
        <f t="shared" si="9"/>
        <v>8.1497081352607594</v>
      </c>
    </row>
    <row r="75" spans="1:18" x14ac:dyDescent="0.3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24</v>
      </c>
      <c r="H75">
        <v>2843.76</v>
      </c>
      <c r="I75">
        <v>3146.6</v>
      </c>
      <c r="J75" t="s">
        <v>27</v>
      </c>
      <c r="K75">
        <v>0.08</v>
      </c>
      <c r="L75" t="s">
        <v>18</v>
      </c>
      <c r="M75" t="s">
        <v>21</v>
      </c>
      <c r="N75" t="str">
        <f t="shared" si="5"/>
        <v>North-Bob</v>
      </c>
      <c r="O75">
        <f t="shared" si="6"/>
        <v>139344.24000000002</v>
      </c>
      <c r="P75">
        <f t="shared" si="7"/>
        <v>154183.4</v>
      </c>
      <c r="Q75">
        <f t="shared" si="8"/>
        <v>14839.159999999974</v>
      </c>
      <c r="R75">
        <f t="shared" si="9"/>
        <v>9.6243564482298183</v>
      </c>
    </row>
    <row r="76" spans="1:18" x14ac:dyDescent="0.35">
      <c r="A76">
        <v>1054</v>
      </c>
      <c r="B76" s="1">
        <v>45087</v>
      </c>
      <c r="C76" t="s">
        <v>14</v>
      </c>
      <c r="D76" t="s">
        <v>23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27</v>
      </c>
      <c r="K76">
        <v>0.05</v>
      </c>
      <c r="L76" t="s">
        <v>25</v>
      </c>
      <c r="M76" t="s">
        <v>19</v>
      </c>
      <c r="N76" t="str">
        <f t="shared" si="5"/>
        <v>South-Bob</v>
      </c>
      <c r="O76">
        <f t="shared" si="6"/>
        <v>98030.94</v>
      </c>
      <c r="P76">
        <f t="shared" si="7"/>
        <v>105844.62000000001</v>
      </c>
      <c r="Q76">
        <f t="shared" si="8"/>
        <v>7813.6800000000076</v>
      </c>
      <c r="R76">
        <f t="shared" si="9"/>
        <v>7.3822174428894032</v>
      </c>
    </row>
    <row r="77" spans="1:18" x14ac:dyDescent="0.35">
      <c r="A77">
        <v>1004</v>
      </c>
      <c r="B77" s="1">
        <v>45104</v>
      </c>
      <c r="C77" t="s">
        <v>33</v>
      </c>
      <c r="D77" t="s">
        <v>20</v>
      </c>
      <c r="E77">
        <v>7825.72</v>
      </c>
      <c r="F77">
        <v>2</v>
      </c>
      <c r="G77" t="s">
        <v>31</v>
      </c>
      <c r="H77">
        <v>2953.23</v>
      </c>
      <c r="I77">
        <v>2977.52</v>
      </c>
      <c r="J77" t="s">
        <v>17</v>
      </c>
      <c r="K77">
        <v>0.11</v>
      </c>
      <c r="L77" t="s">
        <v>28</v>
      </c>
      <c r="M77" t="s">
        <v>21</v>
      </c>
      <c r="N77" t="str">
        <f t="shared" si="5"/>
        <v>West-Alice</v>
      </c>
      <c r="O77">
        <f t="shared" si="6"/>
        <v>5906.46</v>
      </c>
      <c r="P77">
        <f t="shared" si="7"/>
        <v>5955.04</v>
      </c>
      <c r="Q77">
        <f t="shared" si="8"/>
        <v>48.579999999999927</v>
      </c>
      <c r="R77">
        <f t="shared" si="9"/>
        <v>0.81577957494827791</v>
      </c>
    </row>
    <row r="78" spans="1:18" x14ac:dyDescent="0.35">
      <c r="A78">
        <v>1054</v>
      </c>
      <c r="B78" s="1">
        <v>44936</v>
      </c>
      <c r="C78" t="s">
        <v>32</v>
      </c>
      <c r="D78" t="s">
        <v>23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tr">
        <f t="shared" si="5"/>
        <v>South-Eve</v>
      </c>
      <c r="O78">
        <f t="shared" si="6"/>
        <v>106164.40000000001</v>
      </c>
      <c r="P78">
        <f t="shared" si="7"/>
        <v>117172.8</v>
      </c>
      <c r="Q78">
        <f t="shared" si="8"/>
        <v>11008.399999999994</v>
      </c>
      <c r="R78">
        <f t="shared" si="9"/>
        <v>9.3950131771195995</v>
      </c>
    </row>
    <row r="79" spans="1:18" x14ac:dyDescent="0.35">
      <c r="A79">
        <v>1093</v>
      </c>
      <c r="B79" s="1">
        <v>45187</v>
      </c>
      <c r="C79" t="s">
        <v>22</v>
      </c>
      <c r="D79" t="s">
        <v>20</v>
      </c>
      <c r="E79">
        <v>4040.25</v>
      </c>
      <c r="F79">
        <v>19</v>
      </c>
      <c r="G79" t="s">
        <v>31</v>
      </c>
      <c r="H79">
        <v>3808.59</v>
      </c>
      <c r="I79">
        <v>3844.51</v>
      </c>
      <c r="J79" t="s">
        <v>27</v>
      </c>
      <c r="K79">
        <v>0.21</v>
      </c>
      <c r="L79" t="s">
        <v>28</v>
      </c>
      <c r="M79" t="s">
        <v>19</v>
      </c>
      <c r="N79" t="str">
        <f t="shared" si="5"/>
        <v>West-David</v>
      </c>
      <c r="O79">
        <f t="shared" si="6"/>
        <v>72363.210000000006</v>
      </c>
      <c r="P79">
        <f t="shared" si="7"/>
        <v>73045.69</v>
      </c>
      <c r="Q79">
        <f t="shared" si="8"/>
        <v>682.47999999999593</v>
      </c>
      <c r="R79">
        <f t="shared" si="9"/>
        <v>0.93431932808081608</v>
      </c>
    </row>
    <row r="80" spans="1:18" x14ac:dyDescent="0.35">
      <c r="A80">
        <v>1063</v>
      </c>
      <c r="B80" s="1">
        <v>45064</v>
      </c>
      <c r="C80" t="s">
        <v>14</v>
      </c>
      <c r="D80" t="s">
        <v>20</v>
      </c>
      <c r="E80">
        <v>3098.87</v>
      </c>
      <c r="F80">
        <v>39</v>
      </c>
      <c r="G80" t="s">
        <v>24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21</v>
      </c>
      <c r="N80" t="str">
        <f t="shared" si="5"/>
        <v>West-Bob</v>
      </c>
      <c r="O80">
        <f t="shared" si="6"/>
        <v>139529.91</v>
      </c>
      <c r="P80">
        <f t="shared" si="7"/>
        <v>153318.75</v>
      </c>
      <c r="Q80">
        <f t="shared" si="8"/>
        <v>13788.839999999997</v>
      </c>
      <c r="R80">
        <f t="shared" si="9"/>
        <v>8.9935771065182806</v>
      </c>
    </row>
    <row r="81" spans="1:18" x14ac:dyDescent="0.35">
      <c r="A81">
        <v>1018</v>
      </c>
      <c r="B81" s="1">
        <v>45098</v>
      </c>
      <c r="C81" t="s">
        <v>32</v>
      </c>
      <c r="D81" t="s">
        <v>15</v>
      </c>
      <c r="E81">
        <v>750.38</v>
      </c>
      <c r="F81">
        <v>28</v>
      </c>
      <c r="G81" t="s">
        <v>26</v>
      </c>
      <c r="H81">
        <v>1006.14</v>
      </c>
      <c r="I81">
        <v>1043.45</v>
      </c>
      <c r="J81" t="s">
        <v>27</v>
      </c>
      <c r="K81">
        <v>0.15</v>
      </c>
      <c r="L81" t="s">
        <v>25</v>
      </c>
      <c r="M81" t="s">
        <v>21</v>
      </c>
      <c r="N81" t="str">
        <f t="shared" si="5"/>
        <v>North-Eve</v>
      </c>
      <c r="O81">
        <f t="shared" si="6"/>
        <v>28171.919999999998</v>
      </c>
      <c r="P81">
        <f t="shared" si="7"/>
        <v>29216.600000000002</v>
      </c>
      <c r="Q81">
        <f t="shared" si="8"/>
        <v>1044.6800000000039</v>
      </c>
      <c r="R81">
        <f t="shared" si="9"/>
        <v>3.5756385068762415</v>
      </c>
    </row>
    <row r="82" spans="1:18" x14ac:dyDescent="0.35">
      <c r="A82">
        <v>1090</v>
      </c>
      <c r="B82" s="1">
        <v>44939</v>
      </c>
      <c r="C82" t="s">
        <v>33</v>
      </c>
      <c r="D82" t="s">
        <v>30</v>
      </c>
      <c r="E82">
        <v>2359.5300000000002</v>
      </c>
      <c r="F82">
        <v>17</v>
      </c>
      <c r="G82" t="s">
        <v>26</v>
      </c>
      <c r="H82">
        <v>2382.98</v>
      </c>
      <c r="I82">
        <v>2839.73</v>
      </c>
      <c r="J82" t="s">
        <v>17</v>
      </c>
      <c r="K82">
        <v>0.23</v>
      </c>
      <c r="L82" t="s">
        <v>25</v>
      </c>
      <c r="M82" t="s">
        <v>21</v>
      </c>
      <c r="N82" t="str">
        <f t="shared" si="5"/>
        <v>East-Alice</v>
      </c>
      <c r="O82">
        <f t="shared" si="6"/>
        <v>40510.660000000003</v>
      </c>
      <c r="P82">
        <f t="shared" si="7"/>
        <v>48275.41</v>
      </c>
      <c r="Q82">
        <f t="shared" si="8"/>
        <v>7764.75</v>
      </c>
      <c r="R82">
        <f t="shared" si="9"/>
        <v>16.084275617752393</v>
      </c>
    </row>
    <row r="83" spans="1:18" x14ac:dyDescent="0.35">
      <c r="A83">
        <v>1044</v>
      </c>
      <c r="B83" s="1">
        <v>45094</v>
      </c>
      <c r="C83" t="s">
        <v>29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28</v>
      </c>
      <c r="M83" t="s">
        <v>21</v>
      </c>
      <c r="N83" t="str">
        <f t="shared" si="5"/>
        <v>North-Charlie</v>
      </c>
      <c r="O83">
        <f t="shared" si="6"/>
        <v>14333.699999999999</v>
      </c>
      <c r="P83">
        <f t="shared" si="7"/>
        <v>16457.82</v>
      </c>
      <c r="Q83">
        <f t="shared" si="8"/>
        <v>2124.1200000000008</v>
      </c>
      <c r="R83">
        <f t="shared" si="9"/>
        <v>12.906448120103398</v>
      </c>
    </row>
    <row r="84" spans="1:18" x14ac:dyDescent="0.35">
      <c r="A84">
        <v>1034</v>
      </c>
      <c r="B84" s="1">
        <v>45056</v>
      </c>
      <c r="C84" t="s">
        <v>32</v>
      </c>
      <c r="D84" t="s">
        <v>30</v>
      </c>
      <c r="E84">
        <v>4892.3599999999997</v>
      </c>
      <c r="F84">
        <v>19</v>
      </c>
      <c r="G84" t="s">
        <v>26</v>
      </c>
      <c r="H84">
        <v>1922.21</v>
      </c>
      <c r="I84">
        <v>2180.83</v>
      </c>
      <c r="J84" t="s">
        <v>17</v>
      </c>
      <c r="K84">
        <v>0.17</v>
      </c>
      <c r="L84" t="s">
        <v>28</v>
      </c>
      <c r="M84" t="s">
        <v>21</v>
      </c>
      <c r="N84" t="str">
        <f t="shared" si="5"/>
        <v>East-Eve</v>
      </c>
      <c r="O84">
        <f t="shared" si="6"/>
        <v>36521.99</v>
      </c>
      <c r="P84">
        <f t="shared" si="7"/>
        <v>41435.769999999997</v>
      </c>
      <c r="Q84">
        <f t="shared" si="8"/>
        <v>4913.7799999999988</v>
      </c>
      <c r="R84">
        <f t="shared" si="9"/>
        <v>11.858787709266654</v>
      </c>
    </row>
    <row r="85" spans="1:18" x14ac:dyDescent="0.35">
      <c r="A85">
        <v>1074</v>
      </c>
      <c r="B85" s="1">
        <v>45010</v>
      </c>
      <c r="C85" t="s">
        <v>32</v>
      </c>
      <c r="D85" t="s">
        <v>20</v>
      </c>
      <c r="E85">
        <v>7499.7</v>
      </c>
      <c r="F85">
        <v>38</v>
      </c>
      <c r="G85" t="s">
        <v>24</v>
      </c>
      <c r="H85">
        <v>2610.6</v>
      </c>
      <c r="I85">
        <v>2836.94</v>
      </c>
      <c r="J85" t="s">
        <v>17</v>
      </c>
      <c r="K85">
        <v>0.19</v>
      </c>
      <c r="L85" t="s">
        <v>28</v>
      </c>
      <c r="M85" t="s">
        <v>19</v>
      </c>
      <c r="N85" t="str">
        <f t="shared" si="5"/>
        <v>West-Eve</v>
      </c>
      <c r="O85">
        <f t="shared" si="6"/>
        <v>99202.8</v>
      </c>
      <c r="P85">
        <f t="shared" si="7"/>
        <v>107803.72</v>
      </c>
      <c r="Q85">
        <f t="shared" si="8"/>
        <v>8600.9199999999983</v>
      </c>
      <c r="R85">
        <f t="shared" si="9"/>
        <v>7.9783146629819433</v>
      </c>
    </row>
    <row r="86" spans="1:18" x14ac:dyDescent="0.35">
      <c r="A86">
        <v>1062</v>
      </c>
      <c r="B86" s="1">
        <v>45247</v>
      </c>
      <c r="C86" t="s">
        <v>29</v>
      </c>
      <c r="D86" t="s">
        <v>15</v>
      </c>
      <c r="E86">
        <v>4790.72</v>
      </c>
      <c r="F86">
        <v>28</v>
      </c>
      <c r="G86" t="s">
        <v>26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21</v>
      </c>
      <c r="N86" t="str">
        <f t="shared" si="5"/>
        <v>North-Charlie</v>
      </c>
      <c r="O86">
        <f t="shared" si="6"/>
        <v>58656.639999999999</v>
      </c>
      <c r="P86">
        <f t="shared" si="7"/>
        <v>60729.479999999996</v>
      </c>
      <c r="Q86">
        <f t="shared" si="8"/>
        <v>2072.8399999999965</v>
      </c>
      <c r="R86">
        <f t="shared" si="9"/>
        <v>3.4132352195342301</v>
      </c>
    </row>
    <row r="87" spans="1:18" x14ac:dyDescent="0.35">
      <c r="A87">
        <v>1100</v>
      </c>
      <c r="B87" s="1">
        <v>45245</v>
      </c>
      <c r="C87" t="s">
        <v>32</v>
      </c>
      <c r="D87" t="s">
        <v>30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27</v>
      </c>
      <c r="K87">
        <v>0.27</v>
      </c>
      <c r="L87" t="s">
        <v>25</v>
      </c>
      <c r="M87" t="s">
        <v>19</v>
      </c>
      <c r="N87" t="str">
        <f t="shared" si="5"/>
        <v>East-Eve</v>
      </c>
      <c r="O87">
        <f t="shared" si="6"/>
        <v>2073.52</v>
      </c>
      <c r="P87">
        <f t="shared" si="7"/>
        <v>2378.6999999999998</v>
      </c>
      <c r="Q87">
        <f t="shared" si="8"/>
        <v>305.17999999999984</v>
      </c>
      <c r="R87">
        <f t="shared" si="9"/>
        <v>12.829696893261019</v>
      </c>
    </row>
    <row r="88" spans="1:18" x14ac:dyDescent="0.35">
      <c r="A88">
        <v>1014</v>
      </c>
      <c r="B88" s="1">
        <v>45027</v>
      </c>
      <c r="C88" t="s">
        <v>33</v>
      </c>
      <c r="D88" t="s">
        <v>23</v>
      </c>
      <c r="E88">
        <v>9582.1200000000008</v>
      </c>
      <c r="F88">
        <v>38</v>
      </c>
      <c r="G88" t="s">
        <v>24</v>
      </c>
      <c r="H88">
        <v>2091.21</v>
      </c>
      <c r="I88">
        <v>2527</v>
      </c>
      <c r="J88" t="s">
        <v>17</v>
      </c>
      <c r="K88">
        <v>0.01</v>
      </c>
      <c r="L88" t="s">
        <v>28</v>
      </c>
      <c r="M88" t="s">
        <v>19</v>
      </c>
      <c r="N88" t="str">
        <f t="shared" si="5"/>
        <v>South-Alice</v>
      </c>
      <c r="O88">
        <f t="shared" si="6"/>
        <v>79465.98</v>
      </c>
      <c r="P88">
        <f t="shared" si="7"/>
        <v>96026</v>
      </c>
      <c r="Q88">
        <f t="shared" si="8"/>
        <v>16560.020000000004</v>
      </c>
      <c r="R88">
        <f t="shared" si="9"/>
        <v>17.245350217649392</v>
      </c>
    </row>
    <row r="89" spans="1:18" x14ac:dyDescent="0.35">
      <c r="A89">
        <v>1095</v>
      </c>
      <c r="B89" s="1">
        <v>45255</v>
      </c>
      <c r="C89" t="s">
        <v>33</v>
      </c>
      <c r="D89" t="s">
        <v>30</v>
      </c>
      <c r="E89">
        <v>9432.9699999999993</v>
      </c>
      <c r="F89">
        <v>37</v>
      </c>
      <c r="G89" t="s">
        <v>31</v>
      </c>
      <c r="H89">
        <v>407.77</v>
      </c>
      <c r="I89">
        <v>860.95</v>
      </c>
      <c r="J89" t="s">
        <v>27</v>
      </c>
      <c r="K89">
        <v>0.1</v>
      </c>
      <c r="L89" t="s">
        <v>28</v>
      </c>
      <c r="M89" t="s">
        <v>21</v>
      </c>
      <c r="N89" t="str">
        <f t="shared" si="5"/>
        <v>East-Alice</v>
      </c>
      <c r="O89">
        <f t="shared" si="6"/>
        <v>15087.49</v>
      </c>
      <c r="P89">
        <f t="shared" si="7"/>
        <v>31855.15</v>
      </c>
      <c r="Q89">
        <f t="shared" si="8"/>
        <v>16767.660000000003</v>
      </c>
      <c r="R89">
        <f t="shared" si="9"/>
        <v>52.637203089610317</v>
      </c>
    </row>
    <row r="90" spans="1:18" x14ac:dyDescent="0.35">
      <c r="A90">
        <v>1048</v>
      </c>
      <c r="B90" s="1">
        <v>45199</v>
      </c>
      <c r="C90" t="s">
        <v>29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27</v>
      </c>
      <c r="K90">
        <v>0.22</v>
      </c>
      <c r="L90" t="s">
        <v>28</v>
      </c>
      <c r="M90" t="s">
        <v>21</v>
      </c>
      <c r="N90" t="str">
        <f t="shared" si="5"/>
        <v>North-Charlie</v>
      </c>
      <c r="O90">
        <f t="shared" si="6"/>
        <v>11600.56</v>
      </c>
      <c r="P90">
        <f t="shared" si="7"/>
        <v>11642.039999999961</v>
      </c>
      <c r="Q90">
        <f t="shared" si="8"/>
        <v>41.479999999961365</v>
      </c>
      <c r="R90">
        <f t="shared" si="9"/>
        <v>0.35629494487187385</v>
      </c>
    </row>
    <row r="91" spans="1:18" x14ac:dyDescent="0.35">
      <c r="A91">
        <v>1015</v>
      </c>
      <c r="B91" s="1">
        <v>45191</v>
      </c>
      <c r="C91" t="s">
        <v>22</v>
      </c>
      <c r="D91" t="s">
        <v>23</v>
      </c>
      <c r="E91">
        <v>9914.15</v>
      </c>
      <c r="F91">
        <v>22</v>
      </c>
      <c r="G91" t="s">
        <v>31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21</v>
      </c>
      <c r="N91" t="str">
        <f t="shared" si="5"/>
        <v>South-David</v>
      </c>
      <c r="O91">
        <f t="shared" si="6"/>
        <v>94062.98000000001</v>
      </c>
      <c r="P91">
        <f t="shared" si="7"/>
        <v>100687.84000000001</v>
      </c>
      <c r="Q91">
        <f t="shared" si="8"/>
        <v>6624.8600000000006</v>
      </c>
      <c r="R91">
        <f t="shared" si="9"/>
        <v>6.579602859689909</v>
      </c>
    </row>
    <row r="92" spans="1:18" x14ac:dyDescent="0.35">
      <c r="A92">
        <v>1072</v>
      </c>
      <c r="B92" s="1">
        <v>44964</v>
      </c>
      <c r="C92" t="s">
        <v>14</v>
      </c>
      <c r="D92" t="s">
        <v>30</v>
      </c>
      <c r="E92">
        <v>5490.38</v>
      </c>
      <c r="F92">
        <v>26</v>
      </c>
      <c r="G92" t="s">
        <v>24</v>
      </c>
      <c r="H92">
        <v>3640.17</v>
      </c>
      <c r="I92">
        <v>4002.63</v>
      </c>
      <c r="J92" t="s">
        <v>27</v>
      </c>
      <c r="K92">
        <v>0.05</v>
      </c>
      <c r="L92" t="s">
        <v>28</v>
      </c>
      <c r="M92" t="s">
        <v>21</v>
      </c>
      <c r="N92" t="str">
        <f t="shared" si="5"/>
        <v>East-Bob</v>
      </c>
      <c r="O92">
        <f t="shared" si="6"/>
        <v>94644.42</v>
      </c>
      <c r="P92">
        <f t="shared" si="7"/>
        <v>104068.38</v>
      </c>
      <c r="Q92">
        <f t="shared" si="8"/>
        <v>9423.9600000000064</v>
      </c>
      <c r="R92">
        <f t="shared" si="9"/>
        <v>9.0555459785191292</v>
      </c>
    </row>
    <row r="93" spans="1:18" x14ac:dyDescent="0.35">
      <c r="A93">
        <v>1078</v>
      </c>
      <c r="B93" s="1">
        <v>45020</v>
      </c>
      <c r="C93" t="s">
        <v>22</v>
      </c>
      <c r="D93" t="s">
        <v>30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28</v>
      </c>
      <c r="M93" t="s">
        <v>21</v>
      </c>
      <c r="N93" t="str">
        <f t="shared" si="5"/>
        <v>East-David</v>
      </c>
      <c r="O93">
        <f t="shared" si="6"/>
        <v>89863.55</v>
      </c>
      <c r="P93">
        <f t="shared" si="7"/>
        <v>105209.86</v>
      </c>
      <c r="Q93">
        <f t="shared" si="8"/>
        <v>15346.309999999998</v>
      </c>
      <c r="R93">
        <f t="shared" si="9"/>
        <v>14.586380021796433</v>
      </c>
    </row>
    <row r="94" spans="1:18" x14ac:dyDescent="0.35">
      <c r="A94">
        <v>1087</v>
      </c>
      <c r="B94" s="1">
        <v>45021</v>
      </c>
      <c r="C94" t="s">
        <v>32</v>
      </c>
      <c r="D94" t="s">
        <v>30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27</v>
      </c>
      <c r="K94">
        <v>0.17</v>
      </c>
      <c r="L94" t="s">
        <v>18</v>
      </c>
      <c r="M94" t="s">
        <v>19</v>
      </c>
      <c r="N94" t="str">
        <f t="shared" si="5"/>
        <v>East-Eve</v>
      </c>
      <c r="O94">
        <f t="shared" si="6"/>
        <v>20683</v>
      </c>
      <c r="P94">
        <f t="shared" si="7"/>
        <v>22833.86</v>
      </c>
      <c r="Q94">
        <f t="shared" si="8"/>
        <v>2150.8600000000006</v>
      </c>
      <c r="R94">
        <f t="shared" si="9"/>
        <v>9.4196075477383179</v>
      </c>
    </row>
    <row r="95" spans="1:18" x14ac:dyDescent="0.35">
      <c r="A95">
        <v>1062</v>
      </c>
      <c r="B95" s="1">
        <v>45231</v>
      </c>
      <c r="C95" t="s">
        <v>14</v>
      </c>
      <c r="D95" t="s">
        <v>30</v>
      </c>
      <c r="E95">
        <v>3720.24</v>
      </c>
      <c r="F95">
        <v>36</v>
      </c>
      <c r="G95" t="s">
        <v>24</v>
      </c>
      <c r="H95">
        <v>1050.6400000000001</v>
      </c>
      <c r="I95">
        <v>1167.33</v>
      </c>
      <c r="J95" t="s">
        <v>27</v>
      </c>
      <c r="K95">
        <v>0.22</v>
      </c>
      <c r="L95" t="s">
        <v>18</v>
      </c>
      <c r="M95" t="s">
        <v>19</v>
      </c>
      <c r="N95" t="str">
        <f t="shared" si="5"/>
        <v>East-Bob</v>
      </c>
      <c r="O95">
        <f t="shared" si="6"/>
        <v>37823.040000000001</v>
      </c>
      <c r="P95">
        <f t="shared" si="7"/>
        <v>42023.88</v>
      </c>
      <c r="Q95">
        <f t="shared" si="8"/>
        <v>4200.8399999999965</v>
      </c>
      <c r="R95">
        <f t="shared" si="9"/>
        <v>9.9963163801152977</v>
      </c>
    </row>
    <row r="96" spans="1:18" x14ac:dyDescent="0.35">
      <c r="A96">
        <v>1040</v>
      </c>
      <c r="B96" s="1">
        <v>44995</v>
      </c>
      <c r="C96" t="s">
        <v>29</v>
      </c>
      <c r="D96" t="s">
        <v>30</v>
      </c>
      <c r="E96">
        <v>2331.27</v>
      </c>
      <c r="F96">
        <v>13</v>
      </c>
      <c r="G96" t="s">
        <v>26</v>
      </c>
      <c r="H96">
        <v>2750.18</v>
      </c>
      <c r="I96">
        <v>2882.85</v>
      </c>
      <c r="J96" t="s">
        <v>17</v>
      </c>
      <c r="K96">
        <v>0.24</v>
      </c>
      <c r="L96" t="s">
        <v>28</v>
      </c>
      <c r="M96" t="s">
        <v>19</v>
      </c>
      <c r="N96" t="str">
        <f t="shared" si="5"/>
        <v>East-Charlie</v>
      </c>
      <c r="O96">
        <f t="shared" si="6"/>
        <v>35752.339999999997</v>
      </c>
      <c r="P96">
        <f t="shared" si="7"/>
        <v>37477.049999999996</v>
      </c>
      <c r="Q96">
        <f t="shared" si="8"/>
        <v>1724.7099999999991</v>
      </c>
      <c r="R96">
        <f t="shared" si="9"/>
        <v>4.6020431170543015</v>
      </c>
    </row>
    <row r="97" spans="1:18" x14ac:dyDescent="0.35">
      <c r="A97">
        <v>1085</v>
      </c>
      <c r="B97" s="1">
        <v>45244</v>
      </c>
      <c r="C97" t="s">
        <v>29</v>
      </c>
      <c r="D97" t="s">
        <v>23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28</v>
      </c>
      <c r="M97" t="s">
        <v>21</v>
      </c>
      <c r="N97" t="str">
        <f t="shared" si="5"/>
        <v>South-Charlie</v>
      </c>
      <c r="O97">
        <f t="shared" si="6"/>
        <v>34397.760000000002</v>
      </c>
      <c r="P97">
        <f t="shared" si="7"/>
        <v>47759.360000000001</v>
      </c>
      <c r="Q97">
        <f t="shared" si="8"/>
        <v>13361.599999999999</v>
      </c>
      <c r="R97">
        <f t="shared" si="9"/>
        <v>27.976924313893647</v>
      </c>
    </row>
    <row r="98" spans="1:18" x14ac:dyDescent="0.35">
      <c r="A98">
        <v>1080</v>
      </c>
      <c r="B98" s="1">
        <v>45162</v>
      </c>
      <c r="C98" t="s">
        <v>14</v>
      </c>
      <c r="D98" t="s">
        <v>20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21</v>
      </c>
      <c r="N98" t="str">
        <f t="shared" si="5"/>
        <v>West-Bob</v>
      </c>
      <c r="O98">
        <f t="shared" si="6"/>
        <v>46625.39</v>
      </c>
      <c r="P98">
        <f t="shared" si="7"/>
        <v>50653.88</v>
      </c>
      <c r="Q98">
        <f t="shared" si="8"/>
        <v>4028.489999999998</v>
      </c>
      <c r="R98">
        <f t="shared" si="9"/>
        <v>7.9529741848008442</v>
      </c>
    </row>
    <row r="99" spans="1:18" x14ac:dyDescent="0.35">
      <c r="A99">
        <v>1082</v>
      </c>
      <c r="B99" s="1">
        <v>45260</v>
      </c>
      <c r="C99" t="s">
        <v>33</v>
      </c>
      <c r="D99" t="s">
        <v>23</v>
      </c>
      <c r="E99">
        <v>6261.9</v>
      </c>
      <c r="F99">
        <v>41</v>
      </c>
      <c r="G99" t="s">
        <v>31</v>
      </c>
      <c r="H99">
        <v>1196.42</v>
      </c>
      <c r="I99">
        <v>1444.97</v>
      </c>
      <c r="J99" t="s">
        <v>17</v>
      </c>
      <c r="K99">
        <v>0.21</v>
      </c>
      <c r="L99" t="s">
        <v>25</v>
      </c>
      <c r="M99" t="s">
        <v>19</v>
      </c>
      <c r="N99" t="str">
        <f t="shared" si="5"/>
        <v>South-Alice</v>
      </c>
      <c r="O99">
        <f t="shared" si="6"/>
        <v>49053.22</v>
      </c>
      <c r="P99">
        <f t="shared" si="7"/>
        <v>59243.770000000004</v>
      </c>
      <c r="Q99">
        <f t="shared" si="8"/>
        <v>10190.550000000003</v>
      </c>
      <c r="R99">
        <f t="shared" si="9"/>
        <v>17.201049156729901</v>
      </c>
    </row>
    <row r="100" spans="1:18" x14ac:dyDescent="0.35">
      <c r="A100">
        <v>1053</v>
      </c>
      <c r="B100" s="1">
        <v>45063</v>
      </c>
      <c r="C100" t="s">
        <v>14</v>
      </c>
      <c r="D100" t="s">
        <v>23</v>
      </c>
      <c r="E100">
        <v>7835.09</v>
      </c>
      <c r="F100">
        <v>36</v>
      </c>
      <c r="G100" t="s">
        <v>26</v>
      </c>
      <c r="H100">
        <v>4252.17</v>
      </c>
      <c r="I100">
        <v>4720.2700000000004</v>
      </c>
      <c r="J100" t="s">
        <v>27</v>
      </c>
      <c r="K100">
        <v>0.09</v>
      </c>
      <c r="L100" t="s">
        <v>18</v>
      </c>
      <c r="M100" t="s">
        <v>21</v>
      </c>
      <c r="N100" t="str">
        <f t="shared" si="5"/>
        <v>South-Bob</v>
      </c>
      <c r="O100">
        <f t="shared" si="6"/>
        <v>153078.12</v>
      </c>
      <c r="P100">
        <f t="shared" si="7"/>
        <v>169929.72000000003</v>
      </c>
      <c r="Q100">
        <f t="shared" si="8"/>
        <v>16851.600000000035</v>
      </c>
      <c r="R100">
        <f t="shared" si="9"/>
        <v>9.916805606458972</v>
      </c>
    </row>
    <row r="101" spans="1:18" x14ac:dyDescent="0.35">
      <c r="A101">
        <v>1024</v>
      </c>
      <c r="B101" s="1">
        <v>45002</v>
      </c>
      <c r="C101" t="s">
        <v>32</v>
      </c>
      <c r="D101" t="s">
        <v>23</v>
      </c>
      <c r="E101">
        <v>5825.15</v>
      </c>
      <c r="F101">
        <v>46</v>
      </c>
      <c r="G101" t="s">
        <v>31</v>
      </c>
      <c r="H101">
        <v>2016.49</v>
      </c>
      <c r="I101">
        <v>2338.66</v>
      </c>
      <c r="J101" t="s">
        <v>17</v>
      </c>
      <c r="K101">
        <v>0.19</v>
      </c>
      <c r="L101" t="s">
        <v>25</v>
      </c>
      <c r="M101" t="s">
        <v>21</v>
      </c>
      <c r="N101" t="str">
        <f t="shared" si="5"/>
        <v>South-Eve</v>
      </c>
      <c r="O101">
        <f t="shared" si="6"/>
        <v>92758.54</v>
      </c>
      <c r="P101">
        <f t="shared" si="7"/>
        <v>107578.35999999999</v>
      </c>
      <c r="Q101">
        <f t="shared" si="8"/>
        <v>14819.819999999992</v>
      </c>
      <c r="R101">
        <f t="shared" si="9"/>
        <v>13.775837445374698</v>
      </c>
    </row>
    <row r="102" spans="1:18" x14ac:dyDescent="0.35">
      <c r="A102">
        <v>1026</v>
      </c>
      <c r="B102" s="1">
        <v>44961</v>
      </c>
      <c r="C102" t="s">
        <v>33</v>
      </c>
      <c r="D102" t="s">
        <v>20</v>
      </c>
      <c r="E102">
        <v>1554.93</v>
      </c>
      <c r="F102">
        <v>19</v>
      </c>
      <c r="G102" t="s">
        <v>31</v>
      </c>
      <c r="H102">
        <v>1265.48</v>
      </c>
      <c r="I102">
        <v>1715.83</v>
      </c>
      <c r="J102" t="s">
        <v>27</v>
      </c>
      <c r="K102">
        <v>0.05</v>
      </c>
      <c r="L102" t="s">
        <v>28</v>
      </c>
      <c r="M102" t="s">
        <v>21</v>
      </c>
      <c r="N102" t="str">
        <f t="shared" si="5"/>
        <v>West-Alice</v>
      </c>
      <c r="O102">
        <f t="shared" si="6"/>
        <v>24044.12</v>
      </c>
      <c r="P102">
        <f t="shared" si="7"/>
        <v>32600.769999999997</v>
      </c>
      <c r="Q102">
        <f t="shared" si="8"/>
        <v>8556.6499999999978</v>
      </c>
      <c r="R102">
        <f t="shared" si="9"/>
        <v>26.246772698927046</v>
      </c>
    </row>
    <row r="103" spans="1:18" x14ac:dyDescent="0.35">
      <c r="A103">
        <v>1089</v>
      </c>
      <c r="B103" s="1">
        <v>44927</v>
      </c>
      <c r="C103" t="s">
        <v>29</v>
      </c>
      <c r="D103" t="s">
        <v>15</v>
      </c>
      <c r="E103">
        <v>8130.13</v>
      </c>
      <c r="F103">
        <v>35</v>
      </c>
      <c r="G103" t="s">
        <v>26</v>
      </c>
      <c r="H103">
        <v>4071.01</v>
      </c>
      <c r="I103">
        <v>4304.7</v>
      </c>
      <c r="J103" t="s">
        <v>27</v>
      </c>
      <c r="K103">
        <v>0.14000000000000001</v>
      </c>
      <c r="L103" t="s">
        <v>28</v>
      </c>
      <c r="M103" t="s">
        <v>19</v>
      </c>
      <c r="N103" t="str">
        <f t="shared" si="5"/>
        <v>North-Charlie</v>
      </c>
      <c r="O103">
        <f t="shared" si="6"/>
        <v>142485.35</v>
      </c>
      <c r="P103">
        <f t="shared" si="7"/>
        <v>150664.5</v>
      </c>
      <c r="Q103">
        <f t="shared" si="8"/>
        <v>8179.1499999999942</v>
      </c>
      <c r="R103">
        <f t="shared" si="9"/>
        <v>5.4287174483703824</v>
      </c>
    </row>
    <row r="104" spans="1:18" x14ac:dyDescent="0.35">
      <c r="A104">
        <v>1060</v>
      </c>
      <c r="B104" s="1">
        <v>45222</v>
      </c>
      <c r="C104" t="s">
        <v>14</v>
      </c>
      <c r="D104" t="s">
        <v>20</v>
      </c>
      <c r="E104">
        <v>6395.95</v>
      </c>
      <c r="F104">
        <v>46</v>
      </c>
      <c r="G104" t="s">
        <v>26</v>
      </c>
      <c r="H104">
        <v>1747.05</v>
      </c>
      <c r="I104">
        <v>1830.27</v>
      </c>
      <c r="J104" t="s">
        <v>27</v>
      </c>
      <c r="K104">
        <v>0.15</v>
      </c>
      <c r="L104" t="s">
        <v>25</v>
      </c>
      <c r="M104" t="s">
        <v>21</v>
      </c>
      <c r="N104" t="str">
        <f t="shared" si="5"/>
        <v>West-Bob</v>
      </c>
      <c r="O104">
        <f t="shared" si="6"/>
        <v>80364.3</v>
      </c>
      <c r="P104">
        <f t="shared" si="7"/>
        <v>84192.42</v>
      </c>
      <c r="Q104">
        <f t="shared" si="8"/>
        <v>3828.1199999999953</v>
      </c>
      <c r="R104">
        <f t="shared" si="9"/>
        <v>4.5468701339146627</v>
      </c>
    </row>
    <row r="105" spans="1:18" x14ac:dyDescent="0.35">
      <c r="A105">
        <v>1041</v>
      </c>
      <c r="B105" s="1">
        <v>45246</v>
      </c>
      <c r="C105" t="s">
        <v>22</v>
      </c>
      <c r="D105" t="s">
        <v>23</v>
      </c>
      <c r="E105">
        <v>3942.84</v>
      </c>
      <c r="F105">
        <v>40</v>
      </c>
      <c r="G105" t="s">
        <v>24</v>
      </c>
      <c r="H105">
        <v>601.86</v>
      </c>
      <c r="I105">
        <v>1067.53</v>
      </c>
      <c r="J105" t="s">
        <v>27</v>
      </c>
      <c r="K105">
        <v>0.18</v>
      </c>
      <c r="L105" t="s">
        <v>18</v>
      </c>
      <c r="M105" t="s">
        <v>19</v>
      </c>
      <c r="N105" t="str">
        <f t="shared" si="5"/>
        <v>South-David</v>
      </c>
      <c r="O105">
        <f t="shared" si="6"/>
        <v>24074.400000000001</v>
      </c>
      <c r="P105">
        <f t="shared" si="7"/>
        <v>42701.2</v>
      </c>
      <c r="Q105">
        <f t="shared" si="8"/>
        <v>18626.799999999996</v>
      </c>
      <c r="R105">
        <f t="shared" si="9"/>
        <v>43.621256545483497</v>
      </c>
    </row>
    <row r="106" spans="1:18" x14ac:dyDescent="0.35">
      <c r="A106">
        <v>1029</v>
      </c>
      <c r="B106" s="1">
        <v>44986</v>
      </c>
      <c r="C106" t="s">
        <v>22</v>
      </c>
      <c r="D106" t="s">
        <v>30</v>
      </c>
      <c r="E106">
        <v>6773.89</v>
      </c>
      <c r="F106">
        <v>28</v>
      </c>
      <c r="G106" t="s">
        <v>26</v>
      </c>
      <c r="H106">
        <v>2873.53</v>
      </c>
      <c r="I106">
        <v>3108.3</v>
      </c>
      <c r="J106" t="s">
        <v>27</v>
      </c>
      <c r="K106">
        <v>0.15</v>
      </c>
      <c r="L106" t="s">
        <v>28</v>
      </c>
      <c r="M106" t="s">
        <v>21</v>
      </c>
      <c r="N106" t="str">
        <f t="shared" si="5"/>
        <v>East-David</v>
      </c>
      <c r="O106">
        <f t="shared" si="6"/>
        <v>80458.840000000011</v>
      </c>
      <c r="P106">
        <f t="shared" si="7"/>
        <v>87032.400000000009</v>
      </c>
      <c r="Q106">
        <f t="shared" si="8"/>
        <v>6573.5599999999977</v>
      </c>
      <c r="R106">
        <f t="shared" si="9"/>
        <v>7.5530032493646013</v>
      </c>
    </row>
    <row r="107" spans="1:18" x14ac:dyDescent="0.35">
      <c r="A107">
        <v>1015</v>
      </c>
      <c r="B107" s="1">
        <v>45246</v>
      </c>
      <c r="C107" t="s">
        <v>32</v>
      </c>
      <c r="D107" t="s">
        <v>30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27</v>
      </c>
      <c r="K107">
        <v>0.15</v>
      </c>
      <c r="L107" t="s">
        <v>25</v>
      </c>
      <c r="M107" t="s">
        <v>21</v>
      </c>
      <c r="N107" t="str">
        <f t="shared" si="5"/>
        <v>East-Eve</v>
      </c>
      <c r="O107">
        <f t="shared" si="6"/>
        <v>2928.74</v>
      </c>
      <c r="P107">
        <f t="shared" si="7"/>
        <v>3027.74</v>
      </c>
      <c r="Q107">
        <f t="shared" si="8"/>
        <v>99</v>
      </c>
      <c r="R107">
        <f t="shared" si="9"/>
        <v>3.2697655677171755</v>
      </c>
    </row>
    <row r="108" spans="1:18" x14ac:dyDescent="0.35">
      <c r="A108">
        <v>1045</v>
      </c>
      <c r="B108" s="1">
        <v>45275</v>
      </c>
      <c r="C108" t="s">
        <v>22</v>
      </c>
      <c r="D108" t="s">
        <v>23</v>
      </c>
      <c r="E108">
        <v>3517.4</v>
      </c>
      <c r="F108">
        <v>42</v>
      </c>
      <c r="G108" t="s">
        <v>26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tr">
        <f t="shared" si="5"/>
        <v>South-David</v>
      </c>
      <c r="O108">
        <f t="shared" si="6"/>
        <v>150685.07999999999</v>
      </c>
      <c r="P108">
        <f t="shared" si="7"/>
        <v>157328.22</v>
      </c>
      <c r="Q108">
        <f t="shared" si="8"/>
        <v>6643.140000000014</v>
      </c>
      <c r="R108">
        <f t="shared" si="9"/>
        <v>4.2224719761019447</v>
      </c>
    </row>
    <row r="109" spans="1:18" x14ac:dyDescent="0.35">
      <c r="A109">
        <v>1065</v>
      </c>
      <c r="B109" s="1">
        <v>45254</v>
      </c>
      <c r="C109" t="s">
        <v>14</v>
      </c>
      <c r="D109" t="s">
        <v>30</v>
      </c>
      <c r="E109">
        <v>9183.11</v>
      </c>
      <c r="F109">
        <v>18</v>
      </c>
      <c r="G109" t="s">
        <v>24</v>
      </c>
      <c r="H109">
        <v>1239.0899999999999</v>
      </c>
      <c r="I109">
        <v>1273.98</v>
      </c>
      <c r="J109" t="s">
        <v>27</v>
      </c>
      <c r="K109">
        <v>0.02</v>
      </c>
      <c r="L109" t="s">
        <v>25</v>
      </c>
      <c r="M109" t="s">
        <v>21</v>
      </c>
      <c r="N109" t="str">
        <f t="shared" si="5"/>
        <v>East-Bob</v>
      </c>
      <c r="O109">
        <f t="shared" si="6"/>
        <v>22303.62</v>
      </c>
      <c r="P109">
        <f t="shared" si="7"/>
        <v>22931.64</v>
      </c>
      <c r="Q109">
        <f t="shared" si="8"/>
        <v>628.02000000000044</v>
      </c>
      <c r="R109">
        <f t="shared" si="9"/>
        <v>2.7386615174492555</v>
      </c>
    </row>
    <row r="110" spans="1:18" x14ac:dyDescent="0.35">
      <c r="A110">
        <v>1089</v>
      </c>
      <c r="B110" s="1">
        <v>45193</v>
      </c>
      <c r="C110" t="s">
        <v>14</v>
      </c>
      <c r="D110" t="s">
        <v>23</v>
      </c>
      <c r="E110">
        <v>2975.99</v>
      </c>
      <c r="F110">
        <v>48</v>
      </c>
      <c r="G110" t="s">
        <v>24</v>
      </c>
      <c r="H110">
        <v>2246.67</v>
      </c>
      <c r="I110">
        <v>2486.14</v>
      </c>
      <c r="J110" t="s">
        <v>27</v>
      </c>
      <c r="K110">
        <v>0.03</v>
      </c>
      <c r="L110" t="s">
        <v>18</v>
      </c>
      <c r="M110" t="s">
        <v>21</v>
      </c>
      <c r="N110" t="str">
        <f t="shared" si="5"/>
        <v>South-Bob</v>
      </c>
      <c r="O110">
        <f t="shared" si="6"/>
        <v>107840.16</v>
      </c>
      <c r="P110">
        <f t="shared" si="7"/>
        <v>119334.72</v>
      </c>
      <c r="Q110">
        <f t="shared" si="8"/>
        <v>11494.559999999998</v>
      </c>
      <c r="R110">
        <f t="shared" si="9"/>
        <v>9.6322009219110729</v>
      </c>
    </row>
    <row r="111" spans="1:18" x14ac:dyDescent="0.35">
      <c r="A111">
        <v>1071</v>
      </c>
      <c r="B111" s="1">
        <v>45287</v>
      </c>
      <c r="C111" t="s">
        <v>22</v>
      </c>
      <c r="D111" t="s">
        <v>30</v>
      </c>
      <c r="E111">
        <v>4752.88</v>
      </c>
      <c r="F111">
        <v>40</v>
      </c>
      <c r="G111" t="s">
        <v>24</v>
      </c>
      <c r="H111">
        <v>1447.72</v>
      </c>
      <c r="I111">
        <v>1875.75</v>
      </c>
      <c r="J111" t="s">
        <v>27</v>
      </c>
      <c r="K111">
        <v>0.13</v>
      </c>
      <c r="L111" t="s">
        <v>18</v>
      </c>
      <c r="M111" t="s">
        <v>21</v>
      </c>
      <c r="N111" t="str">
        <f t="shared" si="5"/>
        <v>East-David</v>
      </c>
      <c r="O111">
        <f t="shared" si="6"/>
        <v>57908.800000000003</v>
      </c>
      <c r="P111">
        <f t="shared" si="7"/>
        <v>75030</v>
      </c>
      <c r="Q111">
        <f t="shared" si="8"/>
        <v>17121.199999999997</v>
      </c>
      <c r="R111">
        <f t="shared" si="9"/>
        <v>22.819139011062237</v>
      </c>
    </row>
    <row r="112" spans="1:18" x14ac:dyDescent="0.35">
      <c r="A112">
        <v>1009</v>
      </c>
      <c r="B112" s="1">
        <v>45155</v>
      </c>
      <c r="C112" t="s">
        <v>14</v>
      </c>
      <c r="D112" t="s">
        <v>20</v>
      </c>
      <c r="E112">
        <v>8912.4</v>
      </c>
      <c r="F112">
        <v>33</v>
      </c>
      <c r="G112" t="s">
        <v>26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tr">
        <f t="shared" si="5"/>
        <v>West-Bob</v>
      </c>
      <c r="O112">
        <f t="shared" si="6"/>
        <v>14873.76</v>
      </c>
      <c r="P112">
        <f t="shared" si="7"/>
        <v>30299.609999999997</v>
      </c>
      <c r="Q112">
        <f t="shared" si="8"/>
        <v>15425.849999999997</v>
      </c>
      <c r="R112">
        <f t="shared" si="9"/>
        <v>50.911051330363655</v>
      </c>
    </row>
    <row r="113" spans="1:18" x14ac:dyDescent="0.35">
      <c r="A113">
        <v>1088</v>
      </c>
      <c r="B113" s="1">
        <v>45196</v>
      </c>
      <c r="C113" t="s">
        <v>32</v>
      </c>
      <c r="D113" t="s">
        <v>15</v>
      </c>
      <c r="E113">
        <v>7106.44</v>
      </c>
      <c r="F113">
        <v>12</v>
      </c>
      <c r="G113" t="s">
        <v>26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21</v>
      </c>
      <c r="N113" t="str">
        <f t="shared" si="5"/>
        <v>North-Eve</v>
      </c>
      <c r="O113">
        <f t="shared" si="6"/>
        <v>52670.879999999997</v>
      </c>
      <c r="P113">
        <f t="shared" si="7"/>
        <v>58274.639999999883</v>
      </c>
      <c r="Q113">
        <f t="shared" si="8"/>
        <v>5603.7599999998856</v>
      </c>
      <c r="R113">
        <f t="shared" si="9"/>
        <v>9.6161211806712092</v>
      </c>
    </row>
    <row r="114" spans="1:18" x14ac:dyDescent="0.35">
      <c r="A114">
        <v>1001</v>
      </c>
      <c r="B114" s="1">
        <v>45242</v>
      </c>
      <c r="C114" t="s">
        <v>33</v>
      </c>
      <c r="D114" t="s">
        <v>15</v>
      </c>
      <c r="E114">
        <v>715.81</v>
      </c>
      <c r="F114">
        <v>8</v>
      </c>
      <c r="G114" t="s">
        <v>31</v>
      </c>
      <c r="H114">
        <v>3657.91</v>
      </c>
      <c r="I114">
        <v>3729.27</v>
      </c>
      <c r="J114" t="s">
        <v>27</v>
      </c>
      <c r="K114">
        <v>0.09</v>
      </c>
      <c r="L114" t="s">
        <v>25</v>
      </c>
      <c r="M114" t="s">
        <v>21</v>
      </c>
      <c r="N114" t="str">
        <f t="shared" si="5"/>
        <v>North-Alice</v>
      </c>
      <c r="O114">
        <f t="shared" si="6"/>
        <v>29263.279999999999</v>
      </c>
      <c r="P114">
        <f t="shared" si="7"/>
        <v>29834.16</v>
      </c>
      <c r="Q114">
        <f t="shared" si="8"/>
        <v>570.88000000000102</v>
      </c>
      <c r="R114">
        <f t="shared" si="9"/>
        <v>1.9135112233761604</v>
      </c>
    </row>
    <row r="115" spans="1:18" x14ac:dyDescent="0.35">
      <c r="A115">
        <v>1008</v>
      </c>
      <c r="B115" s="1">
        <v>45212</v>
      </c>
      <c r="C115" t="s">
        <v>32</v>
      </c>
      <c r="D115" t="s">
        <v>20</v>
      </c>
      <c r="E115">
        <v>1558.3</v>
      </c>
      <c r="F115">
        <v>24</v>
      </c>
      <c r="G115" t="s">
        <v>31</v>
      </c>
      <c r="H115">
        <v>1542.24</v>
      </c>
      <c r="I115">
        <v>1739.45</v>
      </c>
      <c r="J115" t="s">
        <v>17</v>
      </c>
      <c r="K115">
        <v>0.21</v>
      </c>
      <c r="L115" t="s">
        <v>25</v>
      </c>
      <c r="M115" t="s">
        <v>21</v>
      </c>
      <c r="N115" t="str">
        <f t="shared" si="5"/>
        <v>West-Eve</v>
      </c>
      <c r="O115">
        <f t="shared" si="6"/>
        <v>37013.760000000002</v>
      </c>
      <c r="P115">
        <f t="shared" si="7"/>
        <v>41746.800000000003</v>
      </c>
      <c r="Q115">
        <f t="shared" si="8"/>
        <v>4733.0400000000009</v>
      </c>
      <c r="R115">
        <f t="shared" si="9"/>
        <v>11.337491735893531</v>
      </c>
    </row>
    <row r="116" spans="1:18" x14ac:dyDescent="0.35">
      <c r="A116">
        <v>1088</v>
      </c>
      <c r="B116" s="1">
        <v>45217</v>
      </c>
      <c r="C116" t="s">
        <v>32</v>
      </c>
      <c r="D116" t="s">
        <v>20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27</v>
      </c>
      <c r="K116">
        <v>0.26</v>
      </c>
      <c r="L116" t="s">
        <v>25</v>
      </c>
      <c r="M116" t="s">
        <v>21</v>
      </c>
      <c r="N116" t="str">
        <f t="shared" si="5"/>
        <v>West-Eve</v>
      </c>
      <c r="O116">
        <f t="shared" si="6"/>
        <v>48270.400000000001</v>
      </c>
      <c r="P116">
        <f t="shared" si="7"/>
        <v>48651.68</v>
      </c>
      <c r="Q116">
        <f t="shared" si="8"/>
        <v>381.27999999999884</v>
      </c>
      <c r="R116">
        <f t="shared" si="9"/>
        <v>0.7836933894163548</v>
      </c>
    </row>
    <row r="117" spans="1:18" x14ac:dyDescent="0.35">
      <c r="A117">
        <v>1063</v>
      </c>
      <c r="B117" s="1">
        <v>45139</v>
      </c>
      <c r="C117" t="s">
        <v>14</v>
      </c>
      <c r="D117" t="s">
        <v>23</v>
      </c>
      <c r="E117">
        <v>6346.13</v>
      </c>
      <c r="F117">
        <v>4</v>
      </c>
      <c r="G117" t="s">
        <v>31</v>
      </c>
      <c r="H117">
        <v>1046.26</v>
      </c>
      <c r="I117">
        <v>1475.29</v>
      </c>
      <c r="J117" t="s">
        <v>17</v>
      </c>
      <c r="K117">
        <v>0.09</v>
      </c>
      <c r="L117" t="s">
        <v>25</v>
      </c>
      <c r="M117" t="s">
        <v>21</v>
      </c>
      <c r="N117" t="str">
        <f t="shared" si="5"/>
        <v>South-Bob</v>
      </c>
      <c r="O117">
        <f t="shared" si="6"/>
        <v>4185.04</v>
      </c>
      <c r="P117">
        <f t="shared" si="7"/>
        <v>5901.16</v>
      </c>
      <c r="Q117">
        <f t="shared" si="8"/>
        <v>1716.12</v>
      </c>
      <c r="R117">
        <f t="shared" si="9"/>
        <v>29.081062028482535</v>
      </c>
    </row>
    <row r="118" spans="1:18" x14ac:dyDescent="0.35">
      <c r="A118">
        <v>1011</v>
      </c>
      <c r="B118" s="1">
        <v>45091</v>
      </c>
      <c r="C118" t="s">
        <v>33</v>
      </c>
      <c r="D118" t="s">
        <v>23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27</v>
      </c>
      <c r="K118">
        <v>0.06</v>
      </c>
      <c r="L118" t="s">
        <v>25</v>
      </c>
      <c r="M118" t="s">
        <v>19</v>
      </c>
      <c r="N118" t="str">
        <f t="shared" si="5"/>
        <v>South-Alice</v>
      </c>
      <c r="O118">
        <f t="shared" si="6"/>
        <v>169353.46</v>
      </c>
      <c r="P118">
        <f t="shared" si="7"/>
        <v>176413.48</v>
      </c>
      <c r="Q118">
        <f t="shared" si="8"/>
        <v>7060.0200000000186</v>
      </c>
      <c r="R118">
        <f t="shared" si="9"/>
        <v>4.0019730918521752</v>
      </c>
    </row>
    <row r="119" spans="1:18" x14ac:dyDescent="0.35">
      <c r="A119">
        <v>1081</v>
      </c>
      <c r="B119" s="1">
        <v>44931</v>
      </c>
      <c r="C119" t="s">
        <v>14</v>
      </c>
      <c r="D119" t="s">
        <v>23</v>
      </c>
      <c r="E119">
        <v>1429.32</v>
      </c>
      <c r="F119">
        <v>44</v>
      </c>
      <c r="G119" t="s">
        <v>24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tr">
        <f t="shared" si="5"/>
        <v>South-Bob</v>
      </c>
      <c r="O119">
        <f t="shared" si="6"/>
        <v>27226.76</v>
      </c>
      <c r="P119">
        <f t="shared" si="7"/>
        <v>41273.759999999995</v>
      </c>
      <c r="Q119">
        <f t="shared" si="8"/>
        <v>14046.999999999996</v>
      </c>
      <c r="R119">
        <f t="shared" si="9"/>
        <v>34.0337299049081</v>
      </c>
    </row>
    <row r="120" spans="1:18" x14ac:dyDescent="0.35">
      <c r="A120">
        <v>1008</v>
      </c>
      <c r="B120" s="1">
        <v>45265</v>
      </c>
      <c r="C120" t="s">
        <v>29</v>
      </c>
      <c r="D120" t="s">
        <v>30</v>
      </c>
      <c r="E120">
        <v>9583.5499999999993</v>
      </c>
      <c r="F120">
        <v>27</v>
      </c>
      <c r="G120" t="s">
        <v>31</v>
      </c>
      <c r="H120">
        <v>68.989999999999995</v>
      </c>
      <c r="I120">
        <v>429.29</v>
      </c>
      <c r="J120" t="s">
        <v>17</v>
      </c>
      <c r="K120">
        <v>0.18</v>
      </c>
      <c r="L120" t="s">
        <v>28</v>
      </c>
      <c r="M120" t="s">
        <v>21</v>
      </c>
      <c r="N120" t="str">
        <f t="shared" si="5"/>
        <v>East-Charlie</v>
      </c>
      <c r="O120">
        <f t="shared" si="6"/>
        <v>1862.7299999999998</v>
      </c>
      <c r="P120">
        <f t="shared" si="7"/>
        <v>11590.83</v>
      </c>
      <c r="Q120">
        <f t="shared" si="8"/>
        <v>9728.1</v>
      </c>
      <c r="R120">
        <f t="shared" si="9"/>
        <v>83.929278576253822</v>
      </c>
    </row>
    <row r="121" spans="1:18" x14ac:dyDescent="0.35">
      <c r="A121">
        <v>1035</v>
      </c>
      <c r="B121" s="1">
        <v>45004</v>
      </c>
      <c r="C121" t="s">
        <v>14</v>
      </c>
      <c r="D121" t="s">
        <v>23</v>
      </c>
      <c r="E121">
        <v>5343.63</v>
      </c>
      <c r="F121">
        <v>9</v>
      </c>
      <c r="G121" t="s">
        <v>26</v>
      </c>
      <c r="H121">
        <v>2534.94</v>
      </c>
      <c r="I121">
        <v>2755.56</v>
      </c>
      <c r="J121" t="s">
        <v>17</v>
      </c>
      <c r="K121">
        <v>0.13</v>
      </c>
      <c r="L121" t="s">
        <v>28</v>
      </c>
      <c r="M121" t="s">
        <v>21</v>
      </c>
      <c r="N121" t="str">
        <f t="shared" si="5"/>
        <v>South-Bob</v>
      </c>
      <c r="O121">
        <f t="shared" si="6"/>
        <v>22814.46</v>
      </c>
      <c r="P121">
        <f t="shared" si="7"/>
        <v>24800.04</v>
      </c>
      <c r="Q121">
        <f t="shared" si="8"/>
        <v>1985.5800000000017</v>
      </c>
      <c r="R121">
        <f t="shared" si="9"/>
        <v>8.0063580542612094</v>
      </c>
    </row>
    <row r="122" spans="1:18" x14ac:dyDescent="0.35">
      <c r="A122">
        <v>1035</v>
      </c>
      <c r="B122" s="1">
        <v>44988</v>
      </c>
      <c r="C122" t="s">
        <v>14</v>
      </c>
      <c r="D122" t="s">
        <v>20</v>
      </c>
      <c r="E122">
        <v>2494.7399999999998</v>
      </c>
      <c r="F122">
        <v>47</v>
      </c>
      <c r="G122" t="s">
        <v>31</v>
      </c>
      <c r="H122">
        <v>2936.48</v>
      </c>
      <c r="I122">
        <v>3096.64</v>
      </c>
      <c r="J122" t="s">
        <v>27</v>
      </c>
      <c r="K122">
        <v>0.06</v>
      </c>
      <c r="L122" t="s">
        <v>25</v>
      </c>
      <c r="M122" t="s">
        <v>19</v>
      </c>
      <c r="N122" t="str">
        <f t="shared" si="5"/>
        <v>West-Bob</v>
      </c>
      <c r="O122">
        <f t="shared" si="6"/>
        <v>138014.56</v>
      </c>
      <c r="P122">
        <f t="shared" si="7"/>
        <v>145542.07999999999</v>
      </c>
      <c r="Q122">
        <f t="shared" si="8"/>
        <v>7527.5199999999895</v>
      </c>
      <c r="R122">
        <f t="shared" si="9"/>
        <v>5.1720574558230785</v>
      </c>
    </row>
    <row r="123" spans="1:18" x14ac:dyDescent="0.3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27</v>
      </c>
      <c r="K123">
        <v>0.2</v>
      </c>
      <c r="L123" t="s">
        <v>25</v>
      </c>
      <c r="M123" t="s">
        <v>21</v>
      </c>
      <c r="N123" t="str">
        <f t="shared" si="5"/>
        <v>North-Bob</v>
      </c>
      <c r="O123">
        <f t="shared" si="6"/>
        <v>46654.080000000002</v>
      </c>
      <c r="P123">
        <f t="shared" si="7"/>
        <v>54357.760000000002</v>
      </c>
      <c r="Q123">
        <f t="shared" si="8"/>
        <v>7703.68</v>
      </c>
      <c r="R123">
        <f t="shared" si="9"/>
        <v>14.172180752113405</v>
      </c>
    </row>
    <row r="124" spans="1:18" x14ac:dyDescent="0.35">
      <c r="A124">
        <v>1005</v>
      </c>
      <c r="B124" s="1">
        <v>45015</v>
      </c>
      <c r="C124" t="s">
        <v>33</v>
      </c>
      <c r="D124" t="s">
        <v>30</v>
      </c>
      <c r="E124">
        <v>6828.24</v>
      </c>
      <c r="F124">
        <v>12</v>
      </c>
      <c r="G124" t="s">
        <v>31</v>
      </c>
      <c r="H124">
        <v>319.83</v>
      </c>
      <c r="I124">
        <v>802.43</v>
      </c>
      <c r="J124" t="s">
        <v>27</v>
      </c>
      <c r="K124">
        <v>0.04</v>
      </c>
      <c r="L124" t="s">
        <v>28</v>
      </c>
      <c r="M124" t="s">
        <v>21</v>
      </c>
      <c r="N124" t="str">
        <f t="shared" si="5"/>
        <v>East-Alice</v>
      </c>
      <c r="O124">
        <f t="shared" si="6"/>
        <v>3837.96</v>
      </c>
      <c r="P124">
        <f t="shared" si="7"/>
        <v>9629.16</v>
      </c>
      <c r="Q124">
        <f t="shared" si="8"/>
        <v>5791.2</v>
      </c>
      <c r="R124">
        <f t="shared" si="9"/>
        <v>60.142317709956004</v>
      </c>
    </row>
    <row r="125" spans="1:18" x14ac:dyDescent="0.35">
      <c r="A125">
        <v>1041</v>
      </c>
      <c r="B125" s="1">
        <v>45163</v>
      </c>
      <c r="C125" t="s">
        <v>14</v>
      </c>
      <c r="D125" t="s">
        <v>23</v>
      </c>
      <c r="E125">
        <v>854.77</v>
      </c>
      <c r="F125">
        <v>31</v>
      </c>
      <c r="G125" t="s">
        <v>24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21</v>
      </c>
      <c r="N125" t="str">
        <f t="shared" si="5"/>
        <v>South-Bob</v>
      </c>
      <c r="O125">
        <f t="shared" si="6"/>
        <v>49740.12</v>
      </c>
      <c r="P125">
        <f t="shared" si="7"/>
        <v>54446.54</v>
      </c>
      <c r="Q125">
        <f t="shared" si="8"/>
        <v>4706.4199999999983</v>
      </c>
      <c r="R125">
        <f t="shared" si="9"/>
        <v>8.6441121878451757</v>
      </c>
    </row>
    <row r="126" spans="1:18" x14ac:dyDescent="0.35">
      <c r="A126">
        <v>1028</v>
      </c>
      <c r="B126" s="1">
        <v>44968</v>
      </c>
      <c r="C126" t="s">
        <v>33</v>
      </c>
      <c r="D126" t="s">
        <v>30</v>
      </c>
      <c r="E126">
        <v>2819.57</v>
      </c>
      <c r="F126">
        <v>24</v>
      </c>
      <c r="G126" t="s">
        <v>26</v>
      </c>
      <c r="H126">
        <v>2521.0300000000002</v>
      </c>
      <c r="I126">
        <v>2766.05</v>
      </c>
      <c r="J126" t="s">
        <v>17</v>
      </c>
      <c r="K126">
        <v>0.16</v>
      </c>
      <c r="L126" t="s">
        <v>25</v>
      </c>
      <c r="M126" t="s">
        <v>21</v>
      </c>
      <c r="N126" t="str">
        <f t="shared" si="5"/>
        <v>East-Alice</v>
      </c>
      <c r="O126">
        <f t="shared" si="6"/>
        <v>60504.72</v>
      </c>
      <c r="P126">
        <f t="shared" si="7"/>
        <v>66385.200000000012</v>
      </c>
      <c r="Q126">
        <f t="shared" si="8"/>
        <v>5880.4800000000105</v>
      </c>
      <c r="R126">
        <f t="shared" si="9"/>
        <v>8.8581189783265089</v>
      </c>
    </row>
    <row r="127" spans="1:18" x14ac:dyDescent="0.35">
      <c r="A127">
        <v>1007</v>
      </c>
      <c r="B127" s="1">
        <v>45015</v>
      </c>
      <c r="C127" t="s">
        <v>22</v>
      </c>
      <c r="D127" t="s">
        <v>30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27</v>
      </c>
      <c r="K127">
        <v>0.22</v>
      </c>
      <c r="L127" t="s">
        <v>18</v>
      </c>
      <c r="M127" t="s">
        <v>21</v>
      </c>
      <c r="N127" t="str">
        <f t="shared" si="5"/>
        <v>East-David</v>
      </c>
      <c r="O127">
        <f t="shared" si="6"/>
        <v>15708.98</v>
      </c>
      <c r="P127">
        <f t="shared" si="7"/>
        <v>22522.639999999999</v>
      </c>
      <c r="Q127">
        <f t="shared" si="8"/>
        <v>6813.66</v>
      </c>
      <c r="R127">
        <f t="shared" si="9"/>
        <v>30.252492602998583</v>
      </c>
    </row>
    <row r="128" spans="1:18" x14ac:dyDescent="0.35">
      <c r="A128">
        <v>1073</v>
      </c>
      <c r="B128" s="1">
        <v>45222</v>
      </c>
      <c r="C128" t="s">
        <v>29</v>
      </c>
      <c r="D128" t="s">
        <v>23</v>
      </c>
      <c r="E128">
        <v>4650.68</v>
      </c>
      <c r="F128">
        <v>45</v>
      </c>
      <c r="G128" t="s">
        <v>26</v>
      </c>
      <c r="H128">
        <v>4369.5</v>
      </c>
      <c r="I128">
        <v>4381.8900000000003</v>
      </c>
      <c r="J128" t="s">
        <v>17</v>
      </c>
      <c r="K128">
        <v>0.02</v>
      </c>
      <c r="L128" t="s">
        <v>28</v>
      </c>
      <c r="M128" t="s">
        <v>21</v>
      </c>
      <c r="N128" t="str">
        <f t="shared" si="5"/>
        <v>South-Charlie</v>
      </c>
      <c r="O128">
        <f t="shared" si="6"/>
        <v>196627.5</v>
      </c>
      <c r="P128">
        <f t="shared" si="7"/>
        <v>197185.05000000002</v>
      </c>
      <c r="Q128">
        <f t="shared" si="8"/>
        <v>557.55000000001746</v>
      </c>
      <c r="R128">
        <f t="shared" si="9"/>
        <v>0.28275470173829986</v>
      </c>
    </row>
    <row r="129" spans="1:18" x14ac:dyDescent="0.35">
      <c r="A129">
        <v>1072</v>
      </c>
      <c r="B129" s="1">
        <v>45254</v>
      </c>
      <c r="C129" t="s">
        <v>33</v>
      </c>
      <c r="D129" t="s">
        <v>30</v>
      </c>
      <c r="E129">
        <v>5511.11</v>
      </c>
      <c r="F129">
        <v>25</v>
      </c>
      <c r="G129" t="s">
        <v>26</v>
      </c>
      <c r="H129">
        <v>481.19</v>
      </c>
      <c r="I129">
        <v>693.4</v>
      </c>
      <c r="J129" t="s">
        <v>27</v>
      </c>
      <c r="K129">
        <v>0.27</v>
      </c>
      <c r="L129" t="s">
        <v>28</v>
      </c>
      <c r="M129" t="s">
        <v>21</v>
      </c>
      <c r="N129" t="str">
        <f t="shared" si="5"/>
        <v>East-Alice</v>
      </c>
      <c r="O129">
        <f t="shared" si="6"/>
        <v>12029.75</v>
      </c>
      <c r="P129">
        <f t="shared" si="7"/>
        <v>17335</v>
      </c>
      <c r="Q129">
        <f t="shared" si="8"/>
        <v>5305.25</v>
      </c>
      <c r="R129">
        <f t="shared" si="9"/>
        <v>30.604268820305741</v>
      </c>
    </row>
    <row r="130" spans="1:18" x14ac:dyDescent="0.35">
      <c r="A130">
        <v>1012</v>
      </c>
      <c r="B130" s="1">
        <v>45221</v>
      </c>
      <c r="C130" t="s">
        <v>22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27</v>
      </c>
      <c r="K130">
        <v>0.21</v>
      </c>
      <c r="L130" t="s">
        <v>25</v>
      </c>
      <c r="M130" t="s">
        <v>21</v>
      </c>
      <c r="N130" t="str">
        <f t="shared" si="5"/>
        <v>North-David</v>
      </c>
      <c r="O130">
        <f t="shared" si="6"/>
        <v>83726.700000000012</v>
      </c>
      <c r="P130">
        <f t="shared" si="7"/>
        <v>85740.18</v>
      </c>
      <c r="Q130">
        <f t="shared" si="8"/>
        <v>2013.4799999999814</v>
      </c>
      <c r="R130">
        <f t="shared" si="9"/>
        <v>2.3483505632948072</v>
      </c>
    </row>
    <row r="131" spans="1:18" x14ac:dyDescent="0.35">
      <c r="A131">
        <v>1034</v>
      </c>
      <c r="B131" s="1">
        <v>45030</v>
      </c>
      <c r="C131" t="s">
        <v>33</v>
      </c>
      <c r="D131" t="s">
        <v>20</v>
      </c>
      <c r="E131">
        <v>534.61</v>
      </c>
      <c r="F131">
        <v>3</v>
      </c>
      <c r="G131" t="s">
        <v>26</v>
      </c>
      <c r="H131">
        <v>3472.51</v>
      </c>
      <c r="I131">
        <v>3732</v>
      </c>
      <c r="J131" t="s">
        <v>27</v>
      </c>
      <c r="K131">
        <v>0.06</v>
      </c>
      <c r="L131" t="s">
        <v>18</v>
      </c>
      <c r="M131" t="s">
        <v>19</v>
      </c>
      <c r="N131" t="str">
        <f t="shared" ref="N131:N194" si="10">D131 &amp; "-" &amp; C131</f>
        <v>West-Alice</v>
      </c>
      <c r="O131">
        <f t="shared" ref="O131:O194" si="11">F131*H131</f>
        <v>10417.530000000001</v>
      </c>
      <c r="P131">
        <f t="shared" ref="P131:P194" si="12">F131*I131</f>
        <v>11196</v>
      </c>
      <c r="Q131">
        <f t="shared" ref="Q131:Q194" si="13">P131-O131</f>
        <v>778.46999999999935</v>
      </c>
      <c r="R131">
        <f t="shared" ref="R131:R194" si="14">(Q131/P131)*100</f>
        <v>6.9531082529474748</v>
      </c>
    </row>
    <row r="132" spans="1:18" x14ac:dyDescent="0.35">
      <c r="A132">
        <v>1033</v>
      </c>
      <c r="B132" s="1">
        <v>44940</v>
      </c>
      <c r="C132" t="s">
        <v>33</v>
      </c>
      <c r="D132" t="s">
        <v>20</v>
      </c>
      <c r="E132">
        <v>1740.92</v>
      </c>
      <c r="F132">
        <v>24</v>
      </c>
      <c r="G132" t="s">
        <v>26</v>
      </c>
      <c r="H132">
        <v>1345.67</v>
      </c>
      <c r="I132">
        <v>1367.76</v>
      </c>
      <c r="J132" t="s">
        <v>27</v>
      </c>
      <c r="K132">
        <v>0.06</v>
      </c>
      <c r="L132" t="s">
        <v>25</v>
      </c>
      <c r="M132" t="s">
        <v>19</v>
      </c>
      <c r="N132" t="str">
        <f t="shared" si="10"/>
        <v>West-Alice</v>
      </c>
      <c r="O132">
        <f t="shared" si="11"/>
        <v>32296.080000000002</v>
      </c>
      <c r="P132">
        <f t="shared" si="12"/>
        <v>32826.239999999998</v>
      </c>
      <c r="Q132">
        <f t="shared" si="13"/>
        <v>530.15999999999622</v>
      </c>
      <c r="R132">
        <f t="shared" si="14"/>
        <v>1.6150494238755222</v>
      </c>
    </row>
    <row r="133" spans="1:18" x14ac:dyDescent="0.35">
      <c r="A133">
        <v>1048</v>
      </c>
      <c r="B133" s="1">
        <v>45214</v>
      </c>
      <c r="C133" t="s">
        <v>29</v>
      </c>
      <c r="D133" t="s">
        <v>15</v>
      </c>
      <c r="E133">
        <v>4510.8599999999997</v>
      </c>
      <c r="F133">
        <v>42</v>
      </c>
      <c r="G133" t="s">
        <v>31</v>
      </c>
      <c r="H133">
        <v>3139.99</v>
      </c>
      <c r="I133">
        <v>3349.37</v>
      </c>
      <c r="J133" t="s">
        <v>17</v>
      </c>
      <c r="K133">
        <v>0.13</v>
      </c>
      <c r="L133" t="s">
        <v>28</v>
      </c>
      <c r="M133" t="s">
        <v>21</v>
      </c>
      <c r="N133" t="str">
        <f t="shared" si="10"/>
        <v>North-Charlie</v>
      </c>
      <c r="O133">
        <f t="shared" si="11"/>
        <v>131879.57999999999</v>
      </c>
      <c r="P133">
        <f t="shared" si="12"/>
        <v>140673.54</v>
      </c>
      <c r="Q133">
        <f t="shared" si="13"/>
        <v>8793.960000000021</v>
      </c>
      <c r="R133">
        <f t="shared" si="14"/>
        <v>6.2513248760214761</v>
      </c>
    </row>
    <row r="134" spans="1:18" x14ac:dyDescent="0.35">
      <c r="A134">
        <v>1023</v>
      </c>
      <c r="B134" s="1">
        <v>45105</v>
      </c>
      <c r="C134" t="s">
        <v>32</v>
      </c>
      <c r="D134" t="s">
        <v>30</v>
      </c>
      <c r="E134">
        <v>2170.94</v>
      </c>
      <c r="F134">
        <v>9</v>
      </c>
      <c r="G134" t="s">
        <v>26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21</v>
      </c>
      <c r="N134" t="str">
        <f t="shared" si="10"/>
        <v>East-Eve</v>
      </c>
      <c r="O134">
        <f t="shared" si="11"/>
        <v>37399.14</v>
      </c>
      <c r="P134">
        <f t="shared" si="12"/>
        <v>38462.400000000001</v>
      </c>
      <c r="Q134">
        <f t="shared" si="13"/>
        <v>1063.260000000002</v>
      </c>
      <c r="R134">
        <f t="shared" si="14"/>
        <v>2.7644140771246777</v>
      </c>
    </row>
    <row r="135" spans="1:18" x14ac:dyDescent="0.35">
      <c r="A135">
        <v>1062</v>
      </c>
      <c r="B135" s="1">
        <v>45051</v>
      </c>
      <c r="C135" t="s">
        <v>32</v>
      </c>
      <c r="D135" t="s">
        <v>23</v>
      </c>
      <c r="E135">
        <v>594.79</v>
      </c>
      <c r="F135">
        <v>26</v>
      </c>
      <c r="G135" t="s">
        <v>26</v>
      </c>
      <c r="H135">
        <v>992.17</v>
      </c>
      <c r="I135">
        <v>1263.49</v>
      </c>
      <c r="J135" t="s">
        <v>17</v>
      </c>
      <c r="K135">
        <v>0.25</v>
      </c>
      <c r="L135" t="s">
        <v>25</v>
      </c>
      <c r="M135" t="s">
        <v>21</v>
      </c>
      <c r="N135" t="str">
        <f t="shared" si="10"/>
        <v>South-Eve</v>
      </c>
      <c r="O135">
        <f t="shared" si="11"/>
        <v>25796.42</v>
      </c>
      <c r="P135">
        <f t="shared" si="12"/>
        <v>32850.74</v>
      </c>
      <c r="Q135">
        <f t="shared" si="13"/>
        <v>7054.32</v>
      </c>
      <c r="R135">
        <f t="shared" si="14"/>
        <v>21.473854165842233</v>
      </c>
    </row>
    <row r="136" spans="1:18" x14ac:dyDescent="0.35">
      <c r="A136">
        <v>1088</v>
      </c>
      <c r="B136" s="1">
        <v>45279</v>
      </c>
      <c r="C136" t="s">
        <v>33</v>
      </c>
      <c r="D136" t="s">
        <v>30</v>
      </c>
      <c r="E136">
        <v>8452.1299999999992</v>
      </c>
      <c r="F136">
        <v>20</v>
      </c>
      <c r="G136" t="s">
        <v>26</v>
      </c>
      <c r="H136">
        <v>4590.24</v>
      </c>
      <c r="I136">
        <v>5088.28</v>
      </c>
      <c r="J136" t="s">
        <v>27</v>
      </c>
      <c r="K136">
        <v>0.16</v>
      </c>
      <c r="L136" t="s">
        <v>25</v>
      </c>
      <c r="M136" t="s">
        <v>21</v>
      </c>
      <c r="N136" t="str">
        <f t="shared" si="10"/>
        <v>East-Alice</v>
      </c>
      <c r="O136">
        <f t="shared" si="11"/>
        <v>91804.799999999988</v>
      </c>
      <c r="P136">
        <f t="shared" si="12"/>
        <v>101765.59999999999</v>
      </c>
      <c r="Q136">
        <f t="shared" si="13"/>
        <v>9960.8000000000029</v>
      </c>
      <c r="R136">
        <f t="shared" si="14"/>
        <v>9.7879833656952879</v>
      </c>
    </row>
    <row r="137" spans="1:18" x14ac:dyDescent="0.3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26</v>
      </c>
      <c r="H137">
        <v>2790.11</v>
      </c>
      <c r="I137">
        <v>3192.37</v>
      </c>
      <c r="J137" t="s">
        <v>17</v>
      </c>
      <c r="K137">
        <v>0.26</v>
      </c>
      <c r="L137" t="s">
        <v>25</v>
      </c>
      <c r="M137" t="s">
        <v>19</v>
      </c>
      <c r="N137" t="str">
        <f t="shared" si="10"/>
        <v>North-Bob</v>
      </c>
      <c r="O137">
        <f t="shared" si="11"/>
        <v>111604.40000000001</v>
      </c>
      <c r="P137">
        <f t="shared" si="12"/>
        <v>127694.79999999999</v>
      </c>
      <c r="Q137">
        <f t="shared" si="13"/>
        <v>16090.39999999998</v>
      </c>
      <c r="R137">
        <f t="shared" si="14"/>
        <v>12.600669721868066</v>
      </c>
    </row>
    <row r="138" spans="1:18" x14ac:dyDescent="0.35">
      <c r="A138">
        <v>1099</v>
      </c>
      <c r="B138" s="1">
        <v>44989</v>
      </c>
      <c r="C138" t="s">
        <v>22</v>
      </c>
      <c r="D138" t="s">
        <v>30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27</v>
      </c>
      <c r="K138">
        <v>0</v>
      </c>
      <c r="L138" t="s">
        <v>28</v>
      </c>
      <c r="M138" t="s">
        <v>19</v>
      </c>
      <c r="N138" t="str">
        <f t="shared" si="10"/>
        <v>East-David</v>
      </c>
      <c r="O138">
        <f t="shared" si="11"/>
        <v>15312</v>
      </c>
      <c r="P138">
        <f t="shared" si="12"/>
        <v>19555.599999999999</v>
      </c>
      <c r="Q138">
        <f t="shared" si="13"/>
        <v>4243.5999999999985</v>
      </c>
      <c r="R138">
        <f t="shared" si="14"/>
        <v>21.700177954141004</v>
      </c>
    </row>
    <row r="139" spans="1:18" x14ac:dyDescent="0.35">
      <c r="A139">
        <v>1044</v>
      </c>
      <c r="B139" s="1">
        <v>45069</v>
      </c>
      <c r="C139" t="s">
        <v>14</v>
      </c>
      <c r="D139" t="s">
        <v>20</v>
      </c>
      <c r="E139">
        <v>8552.4699999999993</v>
      </c>
      <c r="F139">
        <v>19</v>
      </c>
      <c r="G139" t="s">
        <v>24</v>
      </c>
      <c r="H139">
        <v>2182.75</v>
      </c>
      <c r="I139">
        <v>2504.0299999999902</v>
      </c>
      <c r="J139" t="s">
        <v>27</v>
      </c>
      <c r="K139">
        <v>0.01</v>
      </c>
      <c r="L139" t="s">
        <v>25</v>
      </c>
      <c r="M139" t="s">
        <v>19</v>
      </c>
      <c r="N139" t="str">
        <f t="shared" si="10"/>
        <v>West-Bob</v>
      </c>
      <c r="O139">
        <f t="shared" si="11"/>
        <v>41472.25</v>
      </c>
      <c r="P139">
        <f t="shared" si="12"/>
        <v>47576.569999999811</v>
      </c>
      <c r="Q139">
        <f t="shared" si="13"/>
        <v>6104.3199999998105</v>
      </c>
      <c r="R139">
        <f t="shared" si="14"/>
        <v>12.830517206263156</v>
      </c>
    </row>
    <row r="140" spans="1:18" x14ac:dyDescent="0.35">
      <c r="A140">
        <v>1086</v>
      </c>
      <c r="B140" s="1">
        <v>45079</v>
      </c>
      <c r="C140" t="s">
        <v>14</v>
      </c>
      <c r="D140" t="s">
        <v>30</v>
      </c>
      <c r="E140">
        <v>2495.5700000000002</v>
      </c>
      <c r="F140">
        <v>3</v>
      </c>
      <c r="G140" t="s">
        <v>31</v>
      </c>
      <c r="H140">
        <v>1595.35</v>
      </c>
      <c r="I140">
        <v>1625.70999999999</v>
      </c>
      <c r="J140" t="s">
        <v>27</v>
      </c>
      <c r="K140">
        <v>0.27</v>
      </c>
      <c r="L140" t="s">
        <v>18</v>
      </c>
      <c r="M140" t="s">
        <v>19</v>
      </c>
      <c r="N140" t="str">
        <f t="shared" si="10"/>
        <v>East-Bob</v>
      </c>
      <c r="O140">
        <f t="shared" si="11"/>
        <v>4786.0499999999993</v>
      </c>
      <c r="P140">
        <f t="shared" si="12"/>
        <v>4877.1299999999701</v>
      </c>
      <c r="Q140">
        <f t="shared" si="13"/>
        <v>91.079999999970823</v>
      </c>
      <c r="R140">
        <f t="shared" si="14"/>
        <v>1.8674917420690318</v>
      </c>
    </row>
    <row r="141" spans="1:18" x14ac:dyDescent="0.35">
      <c r="A141">
        <v>1091</v>
      </c>
      <c r="B141" s="1">
        <v>45071</v>
      </c>
      <c r="C141" t="s">
        <v>33</v>
      </c>
      <c r="D141" t="s">
        <v>15</v>
      </c>
      <c r="E141">
        <v>9610.2099999999991</v>
      </c>
      <c r="F141">
        <v>24</v>
      </c>
      <c r="G141" t="s">
        <v>26</v>
      </c>
      <c r="H141">
        <v>3639.3</v>
      </c>
      <c r="I141">
        <v>3750.63</v>
      </c>
      <c r="J141" t="s">
        <v>27</v>
      </c>
      <c r="K141">
        <v>0.23</v>
      </c>
      <c r="L141" t="s">
        <v>25</v>
      </c>
      <c r="M141" t="s">
        <v>21</v>
      </c>
      <c r="N141" t="str">
        <f t="shared" si="10"/>
        <v>North-Alice</v>
      </c>
      <c r="O141">
        <f t="shared" si="11"/>
        <v>87343.200000000012</v>
      </c>
      <c r="P141">
        <f t="shared" si="12"/>
        <v>90015.12</v>
      </c>
      <c r="Q141">
        <f t="shared" si="13"/>
        <v>2671.9199999999837</v>
      </c>
      <c r="R141">
        <f t="shared" si="14"/>
        <v>2.9683013253773187</v>
      </c>
    </row>
    <row r="142" spans="1:18" x14ac:dyDescent="0.35">
      <c r="A142">
        <v>1035</v>
      </c>
      <c r="B142" s="1">
        <v>45151</v>
      </c>
      <c r="C142" t="s">
        <v>33</v>
      </c>
      <c r="D142" t="s">
        <v>20</v>
      </c>
      <c r="E142">
        <v>2049.56</v>
      </c>
      <c r="F142">
        <v>5</v>
      </c>
      <c r="G142" t="s">
        <v>26</v>
      </c>
      <c r="H142">
        <v>3991.69</v>
      </c>
      <c r="I142">
        <v>4454.97</v>
      </c>
      <c r="J142" t="s">
        <v>27</v>
      </c>
      <c r="K142">
        <v>0.14000000000000001</v>
      </c>
      <c r="L142" t="s">
        <v>28</v>
      </c>
      <c r="M142" t="s">
        <v>21</v>
      </c>
      <c r="N142" t="str">
        <f t="shared" si="10"/>
        <v>West-Alice</v>
      </c>
      <c r="O142">
        <f t="shared" si="11"/>
        <v>19958.45</v>
      </c>
      <c r="P142">
        <f t="shared" si="12"/>
        <v>22274.850000000002</v>
      </c>
      <c r="Q142">
        <f t="shared" si="13"/>
        <v>2316.4000000000015</v>
      </c>
      <c r="R142">
        <f t="shared" si="14"/>
        <v>10.399172160530828</v>
      </c>
    </row>
    <row r="143" spans="1:18" x14ac:dyDescent="0.35">
      <c r="A143">
        <v>1065</v>
      </c>
      <c r="B143" s="1">
        <v>45235</v>
      </c>
      <c r="C143" t="s">
        <v>33</v>
      </c>
      <c r="D143" t="s">
        <v>30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27</v>
      </c>
      <c r="K143">
        <v>0.23</v>
      </c>
      <c r="L143" t="s">
        <v>25</v>
      </c>
      <c r="M143" t="s">
        <v>21</v>
      </c>
      <c r="N143" t="str">
        <f t="shared" si="10"/>
        <v>East-Alice</v>
      </c>
      <c r="O143">
        <f t="shared" si="11"/>
        <v>12519.119999999999</v>
      </c>
      <c r="P143">
        <f t="shared" si="12"/>
        <v>13087.32</v>
      </c>
      <c r="Q143">
        <f t="shared" si="13"/>
        <v>568.20000000000073</v>
      </c>
      <c r="R143">
        <f t="shared" si="14"/>
        <v>4.3416069905832568</v>
      </c>
    </row>
    <row r="144" spans="1:18" x14ac:dyDescent="0.35">
      <c r="A144">
        <v>1099</v>
      </c>
      <c r="B144" s="1">
        <v>45030</v>
      </c>
      <c r="C144" t="s">
        <v>33</v>
      </c>
      <c r="D144" t="s">
        <v>30</v>
      </c>
      <c r="E144">
        <v>9948.7099999999991</v>
      </c>
      <c r="F144">
        <v>27</v>
      </c>
      <c r="G144" t="s">
        <v>24</v>
      </c>
      <c r="H144">
        <v>4929.55</v>
      </c>
      <c r="I144">
        <v>4990.33</v>
      </c>
      <c r="J144" t="s">
        <v>17</v>
      </c>
      <c r="K144">
        <v>0.28999999999999998</v>
      </c>
      <c r="L144" t="s">
        <v>28</v>
      </c>
      <c r="M144" t="s">
        <v>19</v>
      </c>
      <c r="N144" t="str">
        <f t="shared" si="10"/>
        <v>East-Alice</v>
      </c>
      <c r="O144">
        <f t="shared" si="11"/>
        <v>133097.85</v>
      </c>
      <c r="P144">
        <f t="shared" si="12"/>
        <v>134738.91</v>
      </c>
      <c r="Q144">
        <f t="shared" si="13"/>
        <v>1641.0599999999977</v>
      </c>
      <c r="R144">
        <f t="shared" si="14"/>
        <v>1.2179555259872576</v>
      </c>
    </row>
    <row r="145" spans="1:18" x14ac:dyDescent="0.35">
      <c r="A145">
        <v>1047</v>
      </c>
      <c r="B145" s="1">
        <v>45030</v>
      </c>
      <c r="C145" t="s">
        <v>32</v>
      </c>
      <c r="D145" t="s">
        <v>20</v>
      </c>
      <c r="E145">
        <v>7146.06</v>
      </c>
      <c r="F145">
        <v>16</v>
      </c>
      <c r="G145" t="s">
        <v>26</v>
      </c>
      <c r="H145">
        <v>3966.86</v>
      </c>
      <c r="I145">
        <v>4321.04</v>
      </c>
      <c r="J145" t="s">
        <v>17</v>
      </c>
      <c r="K145">
        <v>0.23</v>
      </c>
      <c r="L145" t="s">
        <v>28</v>
      </c>
      <c r="M145" t="s">
        <v>21</v>
      </c>
      <c r="N145" t="str">
        <f t="shared" si="10"/>
        <v>West-Eve</v>
      </c>
      <c r="O145">
        <f t="shared" si="11"/>
        <v>63469.760000000002</v>
      </c>
      <c r="P145">
        <f t="shared" si="12"/>
        <v>69136.639999999999</v>
      </c>
      <c r="Q145">
        <f t="shared" si="13"/>
        <v>5666.8799999999974</v>
      </c>
      <c r="R145">
        <f t="shared" si="14"/>
        <v>8.1966378464443714</v>
      </c>
    </row>
    <row r="146" spans="1:18" x14ac:dyDescent="0.35">
      <c r="A146">
        <v>1078</v>
      </c>
      <c r="B146" s="1">
        <v>44965</v>
      </c>
      <c r="C146" t="s">
        <v>33</v>
      </c>
      <c r="D146" t="s">
        <v>23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21</v>
      </c>
      <c r="N146" t="str">
        <f t="shared" si="10"/>
        <v>South-Alice</v>
      </c>
      <c r="O146">
        <f t="shared" si="11"/>
        <v>148315.65</v>
      </c>
      <c r="P146">
        <f t="shared" si="12"/>
        <v>155995.41999999998</v>
      </c>
      <c r="Q146">
        <f t="shared" si="13"/>
        <v>7679.7699999999895</v>
      </c>
      <c r="R146">
        <f t="shared" si="14"/>
        <v>4.9230740235835064</v>
      </c>
    </row>
    <row r="147" spans="1:18" x14ac:dyDescent="0.35">
      <c r="A147">
        <v>1003</v>
      </c>
      <c r="B147" s="1">
        <v>45124</v>
      </c>
      <c r="C147" t="s">
        <v>32</v>
      </c>
      <c r="D147" t="s">
        <v>20</v>
      </c>
      <c r="E147">
        <v>5738.44</v>
      </c>
      <c r="F147">
        <v>15</v>
      </c>
      <c r="G147" t="s">
        <v>31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tr">
        <f t="shared" si="10"/>
        <v>West-Eve</v>
      </c>
      <c r="O147">
        <f t="shared" si="11"/>
        <v>25937.100000000002</v>
      </c>
      <c r="P147">
        <f t="shared" si="12"/>
        <v>28063.200000000001</v>
      </c>
      <c r="Q147">
        <f t="shared" si="13"/>
        <v>2126.0999999999985</v>
      </c>
      <c r="R147">
        <f t="shared" si="14"/>
        <v>7.5761139143077001</v>
      </c>
    </row>
    <row r="148" spans="1:18" x14ac:dyDescent="0.35">
      <c r="A148">
        <v>1001</v>
      </c>
      <c r="B148" s="1">
        <v>45060</v>
      </c>
      <c r="C148" t="s">
        <v>32</v>
      </c>
      <c r="D148" t="s">
        <v>23</v>
      </c>
      <c r="E148">
        <v>2669.46</v>
      </c>
      <c r="F148">
        <v>35</v>
      </c>
      <c r="G148" t="s">
        <v>31</v>
      </c>
      <c r="H148">
        <v>2745.75</v>
      </c>
      <c r="I148">
        <v>3244.76</v>
      </c>
      <c r="J148" t="s">
        <v>27</v>
      </c>
      <c r="K148">
        <v>0.05</v>
      </c>
      <c r="L148" t="s">
        <v>25</v>
      </c>
      <c r="M148" t="s">
        <v>19</v>
      </c>
      <c r="N148" t="str">
        <f t="shared" si="10"/>
        <v>South-Eve</v>
      </c>
      <c r="O148">
        <f t="shared" si="11"/>
        <v>96101.25</v>
      </c>
      <c r="P148">
        <f t="shared" si="12"/>
        <v>113566.6</v>
      </c>
      <c r="Q148">
        <f t="shared" si="13"/>
        <v>17465.350000000006</v>
      </c>
      <c r="R148">
        <f t="shared" si="14"/>
        <v>15.378949444643059</v>
      </c>
    </row>
    <row r="149" spans="1:18" x14ac:dyDescent="0.35">
      <c r="A149">
        <v>1005</v>
      </c>
      <c r="B149" s="1">
        <v>44993</v>
      </c>
      <c r="C149" t="s">
        <v>33</v>
      </c>
      <c r="D149" t="s">
        <v>15</v>
      </c>
      <c r="E149">
        <v>4426.26</v>
      </c>
      <c r="F149">
        <v>12</v>
      </c>
      <c r="G149" t="s">
        <v>26</v>
      </c>
      <c r="H149">
        <v>253.29</v>
      </c>
      <c r="I149">
        <v>683.78</v>
      </c>
      <c r="J149" t="s">
        <v>27</v>
      </c>
      <c r="K149">
        <v>0.25</v>
      </c>
      <c r="L149" t="s">
        <v>28</v>
      </c>
      <c r="M149" t="s">
        <v>19</v>
      </c>
      <c r="N149" t="str">
        <f t="shared" si="10"/>
        <v>North-Alice</v>
      </c>
      <c r="O149">
        <f t="shared" si="11"/>
        <v>3039.48</v>
      </c>
      <c r="P149">
        <f t="shared" si="12"/>
        <v>8205.36</v>
      </c>
      <c r="Q149">
        <f t="shared" si="13"/>
        <v>5165.880000000001</v>
      </c>
      <c r="R149">
        <f t="shared" si="14"/>
        <v>62.95738395390331</v>
      </c>
    </row>
    <row r="150" spans="1:18" x14ac:dyDescent="0.35">
      <c r="A150">
        <v>1090</v>
      </c>
      <c r="B150" s="1">
        <v>45105</v>
      </c>
      <c r="C150" t="s">
        <v>29</v>
      </c>
      <c r="D150" t="s">
        <v>15</v>
      </c>
      <c r="E150">
        <v>5976.25</v>
      </c>
      <c r="F150">
        <v>41</v>
      </c>
      <c r="G150" t="s">
        <v>26</v>
      </c>
      <c r="H150">
        <v>3736.88</v>
      </c>
      <c r="I150">
        <v>3946.77</v>
      </c>
      <c r="J150" t="s">
        <v>17</v>
      </c>
      <c r="K150">
        <v>0.06</v>
      </c>
      <c r="L150" t="s">
        <v>28</v>
      </c>
      <c r="M150" t="s">
        <v>19</v>
      </c>
      <c r="N150" t="str">
        <f t="shared" si="10"/>
        <v>North-Charlie</v>
      </c>
      <c r="O150">
        <f t="shared" si="11"/>
        <v>153212.08000000002</v>
      </c>
      <c r="P150">
        <f t="shared" si="12"/>
        <v>161817.57</v>
      </c>
      <c r="Q150">
        <f t="shared" si="13"/>
        <v>8605.4899999999907</v>
      </c>
      <c r="R150">
        <f t="shared" si="14"/>
        <v>5.3180195450963641</v>
      </c>
    </row>
    <row r="151" spans="1:18" x14ac:dyDescent="0.35">
      <c r="A151">
        <v>1014</v>
      </c>
      <c r="B151" s="1">
        <v>44968</v>
      </c>
      <c r="C151" t="s">
        <v>22</v>
      </c>
      <c r="D151" t="s">
        <v>20</v>
      </c>
      <c r="E151">
        <v>823.51</v>
      </c>
      <c r="F151">
        <v>44</v>
      </c>
      <c r="G151" t="s">
        <v>24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tr">
        <f t="shared" si="10"/>
        <v>West-David</v>
      </c>
      <c r="O151">
        <f t="shared" si="11"/>
        <v>99329.12</v>
      </c>
      <c r="P151">
        <f t="shared" si="12"/>
        <v>120903.64</v>
      </c>
      <c r="Q151">
        <f t="shared" si="13"/>
        <v>21574.520000000004</v>
      </c>
      <c r="R151">
        <f t="shared" si="14"/>
        <v>17.844392443436778</v>
      </c>
    </row>
    <row r="152" spans="1:18" x14ac:dyDescent="0.35">
      <c r="A152">
        <v>1027</v>
      </c>
      <c r="B152" s="1">
        <v>44941</v>
      </c>
      <c r="C152" t="s">
        <v>14</v>
      </c>
      <c r="D152" t="s">
        <v>20</v>
      </c>
      <c r="E152">
        <v>6261.2</v>
      </c>
      <c r="F152">
        <v>26</v>
      </c>
      <c r="G152" t="s">
        <v>24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21</v>
      </c>
      <c r="N152" t="str">
        <f t="shared" si="10"/>
        <v>West-Bob</v>
      </c>
      <c r="O152">
        <f t="shared" si="11"/>
        <v>3876.8600000000006</v>
      </c>
      <c r="P152">
        <f t="shared" si="12"/>
        <v>12419.42</v>
      </c>
      <c r="Q152">
        <f t="shared" si="13"/>
        <v>8542.56</v>
      </c>
      <c r="R152">
        <f t="shared" si="14"/>
        <v>68.783888458559247</v>
      </c>
    </row>
    <row r="153" spans="1:18" x14ac:dyDescent="0.35">
      <c r="A153">
        <v>1009</v>
      </c>
      <c r="B153" s="1">
        <v>45037</v>
      </c>
      <c r="C153" t="s">
        <v>32</v>
      </c>
      <c r="D153" t="s">
        <v>15</v>
      </c>
      <c r="E153">
        <v>9813.66</v>
      </c>
      <c r="F153">
        <v>47</v>
      </c>
      <c r="G153" t="s">
        <v>26</v>
      </c>
      <c r="H153">
        <v>359.41</v>
      </c>
      <c r="I153">
        <v>733</v>
      </c>
      <c r="J153" t="s">
        <v>17</v>
      </c>
      <c r="K153">
        <v>0.2</v>
      </c>
      <c r="L153" t="s">
        <v>25</v>
      </c>
      <c r="M153" t="s">
        <v>21</v>
      </c>
      <c r="N153" t="str">
        <f t="shared" si="10"/>
        <v>North-Eve</v>
      </c>
      <c r="O153">
        <f t="shared" si="11"/>
        <v>16892.27</v>
      </c>
      <c r="P153">
        <f t="shared" si="12"/>
        <v>34451</v>
      </c>
      <c r="Q153">
        <f t="shared" si="13"/>
        <v>17558.73</v>
      </c>
      <c r="R153">
        <f t="shared" si="14"/>
        <v>50.967257844474759</v>
      </c>
    </row>
    <row r="154" spans="1:18" x14ac:dyDescent="0.35">
      <c r="A154">
        <v>1079</v>
      </c>
      <c r="B154" s="1">
        <v>45083</v>
      </c>
      <c r="C154" t="s">
        <v>22</v>
      </c>
      <c r="D154" t="s">
        <v>23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28</v>
      </c>
      <c r="M154" t="s">
        <v>19</v>
      </c>
      <c r="N154" t="str">
        <f t="shared" si="10"/>
        <v>South-David</v>
      </c>
      <c r="O154">
        <f t="shared" si="11"/>
        <v>66910.64</v>
      </c>
      <c r="P154">
        <f t="shared" si="12"/>
        <v>67775.600000000006</v>
      </c>
      <c r="Q154">
        <f t="shared" si="13"/>
        <v>864.9600000000064</v>
      </c>
      <c r="R154">
        <f t="shared" si="14"/>
        <v>1.276211497943222</v>
      </c>
    </row>
    <row r="155" spans="1:18" x14ac:dyDescent="0.35">
      <c r="A155">
        <v>1015</v>
      </c>
      <c r="B155" s="1">
        <v>45215</v>
      </c>
      <c r="C155" t="s">
        <v>29</v>
      </c>
      <c r="D155" t="s">
        <v>15</v>
      </c>
      <c r="E155">
        <v>7946.69</v>
      </c>
      <c r="F155">
        <v>23</v>
      </c>
      <c r="G155" t="s">
        <v>24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21</v>
      </c>
      <c r="N155" t="str">
        <f t="shared" si="10"/>
        <v>North-Charlie</v>
      </c>
      <c r="O155">
        <f t="shared" si="11"/>
        <v>67572.62</v>
      </c>
      <c r="P155">
        <f t="shared" si="12"/>
        <v>69173.19</v>
      </c>
      <c r="Q155">
        <f t="shared" si="13"/>
        <v>1600.570000000007</v>
      </c>
      <c r="R155">
        <f t="shared" si="14"/>
        <v>2.3138588808756788</v>
      </c>
    </row>
    <row r="156" spans="1:18" x14ac:dyDescent="0.35">
      <c r="A156">
        <v>1090</v>
      </c>
      <c r="B156" s="1">
        <v>45157</v>
      </c>
      <c r="C156" t="s">
        <v>14</v>
      </c>
      <c r="D156" t="s">
        <v>20</v>
      </c>
      <c r="E156">
        <v>9088.2000000000007</v>
      </c>
      <c r="F156">
        <v>31</v>
      </c>
      <c r="G156" t="s">
        <v>26</v>
      </c>
      <c r="H156">
        <v>2347.81</v>
      </c>
      <c r="I156">
        <v>2668.02</v>
      </c>
      <c r="J156" t="s">
        <v>17</v>
      </c>
      <c r="K156">
        <v>0.09</v>
      </c>
      <c r="L156" t="s">
        <v>25</v>
      </c>
      <c r="M156" t="s">
        <v>21</v>
      </c>
      <c r="N156" t="str">
        <f t="shared" si="10"/>
        <v>West-Bob</v>
      </c>
      <c r="O156">
        <f t="shared" si="11"/>
        <v>72782.11</v>
      </c>
      <c r="P156">
        <f t="shared" si="12"/>
        <v>82708.62</v>
      </c>
      <c r="Q156">
        <f t="shared" si="13"/>
        <v>9926.5099999999948</v>
      </c>
      <c r="R156">
        <f t="shared" si="14"/>
        <v>12.001784094571999</v>
      </c>
    </row>
    <row r="157" spans="1:18" x14ac:dyDescent="0.3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24</v>
      </c>
      <c r="H157">
        <v>3115.06</v>
      </c>
      <c r="I157">
        <v>3565.58</v>
      </c>
      <c r="J157" t="s">
        <v>17</v>
      </c>
      <c r="K157">
        <v>0.3</v>
      </c>
      <c r="L157" t="s">
        <v>28</v>
      </c>
      <c r="M157" t="s">
        <v>21</v>
      </c>
      <c r="N157" t="str">
        <f t="shared" si="10"/>
        <v>North-Bob</v>
      </c>
      <c r="O157">
        <f t="shared" si="11"/>
        <v>62301.2</v>
      </c>
      <c r="P157">
        <f t="shared" si="12"/>
        <v>71311.600000000006</v>
      </c>
      <c r="Q157">
        <f t="shared" si="13"/>
        <v>9010.4000000000087</v>
      </c>
      <c r="R157">
        <f t="shared" si="14"/>
        <v>12.635251487836493</v>
      </c>
    </row>
    <row r="158" spans="1:18" x14ac:dyDescent="0.35">
      <c r="A158">
        <v>1077</v>
      </c>
      <c r="B158" s="1">
        <v>44964</v>
      </c>
      <c r="C158" t="s">
        <v>32</v>
      </c>
      <c r="D158" t="s">
        <v>20</v>
      </c>
      <c r="E158">
        <v>9605.34</v>
      </c>
      <c r="F158">
        <v>12</v>
      </c>
      <c r="G158" t="s">
        <v>26</v>
      </c>
      <c r="H158">
        <v>2427.46</v>
      </c>
      <c r="I158">
        <v>2743.09</v>
      </c>
      <c r="J158" t="s">
        <v>27</v>
      </c>
      <c r="K158">
        <v>0.28999999999999998</v>
      </c>
      <c r="L158" t="s">
        <v>28</v>
      </c>
      <c r="M158" t="s">
        <v>21</v>
      </c>
      <c r="N158" t="str">
        <f t="shared" si="10"/>
        <v>West-Eve</v>
      </c>
      <c r="O158">
        <f t="shared" si="11"/>
        <v>29129.52</v>
      </c>
      <c r="P158">
        <f t="shared" si="12"/>
        <v>32917.08</v>
      </c>
      <c r="Q158">
        <f t="shared" si="13"/>
        <v>3787.5600000000013</v>
      </c>
      <c r="R158">
        <f t="shared" si="14"/>
        <v>11.50636690739276</v>
      </c>
    </row>
    <row r="159" spans="1:18" x14ac:dyDescent="0.35">
      <c r="A159">
        <v>1051</v>
      </c>
      <c r="B159" s="1">
        <v>45023</v>
      </c>
      <c r="C159" t="s">
        <v>33</v>
      </c>
      <c r="D159" t="s">
        <v>20</v>
      </c>
      <c r="E159">
        <v>5262.45</v>
      </c>
      <c r="F159">
        <v>23</v>
      </c>
      <c r="G159" t="s">
        <v>31</v>
      </c>
      <c r="H159">
        <v>3325.43</v>
      </c>
      <c r="I159">
        <v>3401.1</v>
      </c>
      <c r="J159" t="s">
        <v>27</v>
      </c>
      <c r="K159">
        <v>0.1</v>
      </c>
      <c r="L159" t="s">
        <v>18</v>
      </c>
      <c r="M159" t="s">
        <v>19</v>
      </c>
      <c r="N159" t="str">
        <f t="shared" si="10"/>
        <v>West-Alice</v>
      </c>
      <c r="O159">
        <f t="shared" si="11"/>
        <v>76484.89</v>
      </c>
      <c r="P159">
        <f t="shared" si="12"/>
        <v>78225.3</v>
      </c>
      <c r="Q159">
        <f t="shared" si="13"/>
        <v>1740.4100000000035</v>
      </c>
      <c r="R159">
        <f t="shared" si="14"/>
        <v>2.2248684249213535</v>
      </c>
    </row>
    <row r="160" spans="1:18" x14ac:dyDescent="0.35">
      <c r="A160">
        <v>1063</v>
      </c>
      <c r="B160" s="1">
        <v>45215</v>
      </c>
      <c r="C160" t="s">
        <v>29</v>
      </c>
      <c r="D160" t="s">
        <v>15</v>
      </c>
      <c r="E160">
        <v>9775.35</v>
      </c>
      <c r="F160">
        <v>4</v>
      </c>
      <c r="G160" t="s">
        <v>26</v>
      </c>
      <c r="H160">
        <v>1134.67</v>
      </c>
      <c r="I160">
        <v>1201.3900000000001</v>
      </c>
      <c r="J160" t="s">
        <v>27</v>
      </c>
      <c r="K160">
        <v>0.3</v>
      </c>
      <c r="L160" t="s">
        <v>25</v>
      </c>
      <c r="M160" t="s">
        <v>21</v>
      </c>
      <c r="N160" t="str">
        <f t="shared" si="10"/>
        <v>North-Charlie</v>
      </c>
      <c r="O160">
        <f t="shared" si="11"/>
        <v>4538.68</v>
      </c>
      <c r="P160">
        <f t="shared" si="12"/>
        <v>4805.5600000000004</v>
      </c>
      <c r="Q160">
        <f t="shared" si="13"/>
        <v>266.88000000000011</v>
      </c>
      <c r="R160">
        <f t="shared" si="14"/>
        <v>5.5535671180882167</v>
      </c>
    </row>
    <row r="161" spans="1:18" x14ac:dyDescent="0.35">
      <c r="A161">
        <v>1096</v>
      </c>
      <c r="B161" s="1">
        <v>45180</v>
      </c>
      <c r="C161" t="s">
        <v>32</v>
      </c>
      <c r="D161" t="s">
        <v>23</v>
      </c>
      <c r="E161">
        <v>7597.37</v>
      </c>
      <c r="F161">
        <v>23</v>
      </c>
      <c r="G161" t="s">
        <v>31</v>
      </c>
      <c r="H161">
        <v>608.57000000000005</v>
      </c>
      <c r="I161">
        <v>1032.22</v>
      </c>
      <c r="J161" t="s">
        <v>27</v>
      </c>
      <c r="K161">
        <v>0.25</v>
      </c>
      <c r="L161" t="s">
        <v>18</v>
      </c>
      <c r="M161" t="s">
        <v>21</v>
      </c>
      <c r="N161" t="str">
        <f t="shared" si="10"/>
        <v>South-Eve</v>
      </c>
      <c r="O161">
        <f t="shared" si="11"/>
        <v>13997.11</v>
      </c>
      <c r="P161">
        <f t="shared" si="12"/>
        <v>23741.06</v>
      </c>
      <c r="Q161">
        <f t="shared" si="13"/>
        <v>9743.9500000000007</v>
      </c>
      <c r="R161">
        <f t="shared" si="14"/>
        <v>41.042607196140359</v>
      </c>
    </row>
    <row r="162" spans="1:18" x14ac:dyDescent="0.35">
      <c r="A162">
        <v>1052</v>
      </c>
      <c r="B162" s="1">
        <v>45122</v>
      </c>
      <c r="C162" t="s">
        <v>29</v>
      </c>
      <c r="D162" t="s">
        <v>30</v>
      </c>
      <c r="E162">
        <v>1700.55</v>
      </c>
      <c r="F162">
        <v>48</v>
      </c>
      <c r="G162" t="s">
        <v>24</v>
      </c>
      <c r="H162">
        <v>3002.35</v>
      </c>
      <c r="I162">
        <v>3080.61</v>
      </c>
      <c r="J162" t="s">
        <v>17</v>
      </c>
      <c r="K162">
        <v>0.18</v>
      </c>
      <c r="L162" t="s">
        <v>25</v>
      </c>
      <c r="M162" t="s">
        <v>21</v>
      </c>
      <c r="N162" t="str">
        <f t="shared" si="10"/>
        <v>East-Charlie</v>
      </c>
      <c r="O162">
        <f t="shared" si="11"/>
        <v>144112.79999999999</v>
      </c>
      <c r="P162">
        <f t="shared" si="12"/>
        <v>147869.28</v>
      </c>
      <c r="Q162">
        <f t="shared" si="13"/>
        <v>3756.4800000000105</v>
      </c>
      <c r="R162">
        <f t="shared" si="14"/>
        <v>2.5404059585601622</v>
      </c>
    </row>
    <row r="163" spans="1:18" x14ac:dyDescent="0.35">
      <c r="A163">
        <v>1096</v>
      </c>
      <c r="B163" s="1">
        <v>45012</v>
      </c>
      <c r="C163" t="s">
        <v>33</v>
      </c>
      <c r="D163" t="s">
        <v>15</v>
      </c>
      <c r="E163">
        <v>4821.3100000000004</v>
      </c>
      <c r="F163">
        <v>48</v>
      </c>
      <c r="G163" t="s">
        <v>26</v>
      </c>
      <c r="H163">
        <v>2449.21</v>
      </c>
      <c r="I163">
        <v>2714.12</v>
      </c>
      <c r="J163" t="s">
        <v>27</v>
      </c>
      <c r="K163">
        <v>0.01</v>
      </c>
      <c r="L163" t="s">
        <v>28</v>
      </c>
      <c r="M163" t="s">
        <v>19</v>
      </c>
      <c r="N163" t="str">
        <f t="shared" si="10"/>
        <v>North-Alice</v>
      </c>
      <c r="O163">
        <f t="shared" si="11"/>
        <v>117562.08</v>
      </c>
      <c r="P163">
        <f t="shared" si="12"/>
        <v>130277.75999999999</v>
      </c>
      <c r="Q163">
        <f t="shared" si="13"/>
        <v>12715.679999999993</v>
      </c>
      <c r="R163">
        <f t="shared" si="14"/>
        <v>9.7604380056887639</v>
      </c>
    </row>
    <row r="164" spans="1:18" x14ac:dyDescent="0.35">
      <c r="A164">
        <v>1004</v>
      </c>
      <c r="B164" s="1">
        <v>45248</v>
      </c>
      <c r="C164" t="s">
        <v>33</v>
      </c>
      <c r="D164" t="s">
        <v>30</v>
      </c>
      <c r="E164">
        <v>7211.48</v>
      </c>
      <c r="F164">
        <v>1</v>
      </c>
      <c r="G164" t="s">
        <v>24</v>
      </c>
      <c r="H164">
        <v>182.99</v>
      </c>
      <c r="I164">
        <v>211.18</v>
      </c>
      <c r="J164" t="s">
        <v>17</v>
      </c>
      <c r="K164">
        <v>0.27</v>
      </c>
      <c r="L164" t="s">
        <v>25</v>
      </c>
      <c r="M164" t="s">
        <v>21</v>
      </c>
      <c r="N164" t="str">
        <f t="shared" si="10"/>
        <v>East-Alice</v>
      </c>
      <c r="O164">
        <f t="shared" si="11"/>
        <v>182.99</v>
      </c>
      <c r="P164">
        <f t="shared" si="12"/>
        <v>211.18</v>
      </c>
      <c r="Q164">
        <f t="shared" si="13"/>
        <v>28.189999999999998</v>
      </c>
      <c r="R164">
        <f t="shared" si="14"/>
        <v>13.348801969883512</v>
      </c>
    </row>
    <row r="165" spans="1:18" x14ac:dyDescent="0.35">
      <c r="A165">
        <v>1094</v>
      </c>
      <c r="B165" s="1">
        <v>44936</v>
      </c>
      <c r="C165" t="s">
        <v>32</v>
      </c>
      <c r="D165" t="s">
        <v>15</v>
      </c>
      <c r="E165">
        <v>2548.67</v>
      </c>
      <c r="F165">
        <v>25</v>
      </c>
      <c r="G165" t="s">
        <v>31</v>
      </c>
      <c r="H165">
        <v>1933.39</v>
      </c>
      <c r="I165">
        <v>1982.92</v>
      </c>
      <c r="J165" t="s">
        <v>27</v>
      </c>
      <c r="K165">
        <v>0.17</v>
      </c>
      <c r="L165" t="s">
        <v>25</v>
      </c>
      <c r="M165" t="s">
        <v>19</v>
      </c>
      <c r="N165" t="str">
        <f t="shared" si="10"/>
        <v>North-Eve</v>
      </c>
      <c r="O165">
        <f t="shared" si="11"/>
        <v>48334.75</v>
      </c>
      <c r="P165">
        <f t="shared" si="12"/>
        <v>49573</v>
      </c>
      <c r="Q165">
        <f t="shared" si="13"/>
        <v>1238.25</v>
      </c>
      <c r="R165">
        <f t="shared" si="14"/>
        <v>2.4978314808464286</v>
      </c>
    </row>
    <row r="166" spans="1:18" x14ac:dyDescent="0.35">
      <c r="A166">
        <v>1023</v>
      </c>
      <c r="B166" s="1">
        <v>44931</v>
      </c>
      <c r="C166" t="s">
        <v>33</v>
      </c>
      <c r="D166" t="s">
        <v>30</v>
      </c>
      <c r="E166">
        <v>6442.09</v>
      </c>
      <c r="F166">
        <v>2</v>
      </c>
      <c r="G166" t="s">
        <v>26</v>
      </c>
      <c r="H166">
        <v>575.32000000000005</v>
      </c>
      <c r="I166">
        <v>914.77</v>
      </c>
      <c r="J166" t="s">
        <v>17</v>
      </c>
      <c r="K166">
        <v>0.26</v>
      </c>
      <c r="L166" t="s">
        <v>25</v>
      </c>
      <c r="M166" t="s">
        <v>19</v>
      </c>
      <c r="N166" t="str">
        <f t="shared" si="10"/>
        <v>East-Alice</v>
      </c>
      <c r="O166">
        <f t="shared" si="11"/>
        <v>1150.6400000000001</v>
      </c>
      <c r="P166">
        <f t="shared" si="12"/>
        <v>1829.54</v>
      </c>
      <c r="Q166">
        <f t="shared" si="13"/>
        <v>678.89999999999986</v>
      </c>
      <c r="R166">
        <f t="shared" si="14"/>
        <v>37.107688271368758</v>
      </c>
    </row>
    <row r="167" spans="1:18" x14ac:dyDescent="0.35">
      <c r="A167">
        <v>1015</v>
      </c>
      <c r="B167" s="1">
        <v>45049</v>
      </c>
      <c r="C167" t="s">
        <v>22</v>
      </c>
      <c r="D167" t="s">
        <v>23</v>
      </c>
      <c r="E167">
        <v>6699.34</v>
      </c>
      <c r="F167">
        <v>30</v>
      </c>
      <c r="G167" t="s">
        <v>24</v>
      </c>
      <c r="H167">
        <v>2680.22</v>
      </c>
      <c r="I167">
        <v>3027.9199999999901</v>
      </c>
      <c r="J167" t="s">
        <v>17</v>
      </c>
      <c r="K167">
        <v>0.25</v>
      </c>
      <c r="L167" t="s">
        <v>25</v>
      </c>
      <c r="M167" t="s">
        <v>19</v>
      </c>
      <c r="N167" t="str">
        <f t="shared" si="10"/>
        <v>South-David</v>
      </c>
      <c r="O167">
        <f t="shared" si="11"/>
        <v>80406.599999999991</v>
      </c>
      <c r="P167">
        <f t="shared" si="12"/>
        <v>90837.5999999997</v>
      </c>
      <c r="Q167">
        <f t="shared" si="13"/>
        <v>10430.999999999709</v>
      </c>
      <c r="R167">
        <f t="shared" si="14"/>
        <v>11.483130333694135</v>
      </c>
    </row>
    <row r="168" spans="1:18" x14ac:dyDescent="0.35">
      <c r="A168">
        <v>1043</v>
      </c>
      <c r="B168" s="1">
        <v>45256</v>
      </c>
      <c r="C168" t="s">
        <v>14</v>
      </c>
      <c r="D168" t="s">
        <v>23</v>
      </c>
      <c r="E168">
        <v>1710.73</v>
      </c>
      <c r="F168">
        <v>3</v>
      </c>
      <c r="G168" t="s">
        <v>31</v>
      </c>
      <c r="H168">
        <v>2009.1</v>
      </c>
      <c r="I168">
        <v>2186.42</v>
      </c>
      <c r="J168" t="s">
        <v>27</v>
      </c>
      <c r="K168">
        <v>0.25</v>
      </c>
      <c r="L168" t="s">
        <v>25</v>
      </c>
      <c r="M168" t="s">
        <v>19</v>
      </c>
      <c r="N168" t="str">
        <f t="shared" si="10"/>
        <v>South-Bob</v>
      </c>
      <c r="O168">
        <f t="shared" si="11"/>
        <v>6027.2999999999993</v>
      </c>
      <c r="P168">
        <f t="shared" si="12"/>
        <v>6559.26</v>
      </c>
      <c r="Q168">
        <f t="shared" si="13"/>
        <v>531.96000000000095</v>
      </c>
      <c r="R168">
        <f t="shared" si="14"/>
        <v>8.110061195927603</v>
      </c>
    </row>
    <row r="169" spans="1:18" x14ac:dyDescent="0.35">
      <c r="A169">
        <v>1029</v>
      </c>
      <c r="B169" s="1">
        <v>45279</v>
      </c>
      <c r="C169" t="s">
        <v>32</v>
      </c>
      <c r="D169" t="s">
        <v>15</v>
      </c>
      <c r="E169">
        <v>5694.34</v>
      </c>
      <c r="F169">
        <v>21</v>
      </c>
      <c r="G169" t="s">
        <v>24</v>
      </c>
      <c r="H169">
        <v>3085.1</v>
      </c>
      <c r="I169">
        <v>3200.75</v>
      </c>
      <c r="J169" t="s">
        <v>27</v>
      </c>
      <c r="K169">
        <v>0.21</v>
      </c>
      <c r="L169" t="s">
        <v>18</v>
      </c>
      <c r="M169" t="s">
        <v>21</v>
      </c>
      <c r="N169" t="str">
        <f t="shared" si="10"/>
        <v>North-Eve</v>
      </c>
      <c r="O169">
        <f t="shared" si="11"/>
        <v>64787.1</v>
      </c>
      <c r="P169">
        <f t="shared" si="12"/>
        <v>67215.75</v>
      </c>
      <c r="Q169">
        <f t="shared" si="13"/>
        <v>2428.6500000000015</v>
      </c>
      <c r="R169">
        <f t="shared" si="14"/>
        <v>3.6132156525814287</v>
      </c>
    </row>
    <row r="170" spans="1:18" x14ac:dyDescent="0.35">
      <c r="A170">
        <v>1036</v>
      </c>
      <c r="B170" s="1">
        <v>45044</v>
      </c>
      <c r="C170" t="s">
        <v>29</v>
      </c>
      <c r="D170" t="s">
        <v>20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25</v>
      </c>
      <c r="M170" t="s">
        <v>19</v>
      </c>
      <c r="N170" t="str">
        <f t="shared" si="10"/>
        <v>West-Charlie</v>
      </c>
      <c r="O170">
        <f t="shared" si="11"/>
        <v>100943.25</v>
      </c>
      <c r="P170">
        <f t="shared" si="12"/>
        <v>111161.25</v>
      </c>
      <c r="Q170">
        <f t="shared" si="13"/>
        <v>10218</v>
      </c>
      <c r="R170">
        <f t="shared" si="14"/>
        <v>9.1920520864959698</v>
      </c>
    </row>
    <row r="171" spans="1:18" x14ac:dyDescent="0.35">
      <c r="A171">
        <v>1013</v>
      </c>
      <c r="B171" s="1">
        <v>45220</v>
      </c>
      <c r="C171" t="s">
        <v>22</v>
      </c>
      <c r="D171" t="s">
        <v>30</v>
      </c>
      <c r="E171">
        <v>5039.07</v>
      </c>
      <c r="F171">
        <v>20</v>
      </c>
      <c r="G171" t="s">
        <v>31</v>
      </c>
      <c r="H171">
        <v>1533.36</v>
      </c>
      <c r="I171">
        <v>1649.73999999999</v>
      </c>
      <c r="J171" t="s">
        <v>17</v>
      </c>
      <c r="K171">
        <v>0.1</v>
      </c>
      <c r="L171" t="s">
        <v>25</v>
      </c>
      <c r="M171" t="s">
        <v>19</v>
      </c>
      <c r="N171" t="str">
        <f t="shared" si="10"/>
        <v>East-David</v>
      </c>
      <c r="O171">
        <f t="shared" si="11"/>
        <v>30667.199999999997</v>
      </c>
      <c r="P171">
        <f t="shared" si="12"/>
        <v>32994.799999999799</v>
      </c>
      <c r="Q171">
        <f t="shared" si="13"/>
        <v>2327.5999999998021</v>
      </c>
      <c r="R171">
        <f t="shared" si="14"/>
        <v>7.0544449428389209</v>
      </c>
    </row>
    <row r="172" spans="1:18" x14ac:dyDescent="0.35">
      <c r="A172">
        <v>1032</v>
      </c>
      <c r="B172" s="1">
        <v>45085</v>
      </c>
      <c r="C172" t="s">
        <v>32</v>
      </c>
      <c r="D172" t="s">
        <v>20</v>
      </c>
      <c r="E172">
        <v>219.82</v>
      </c>
      <c r="F172">
        <v>49</v>
      </c>
      <c r="G172" t="s">
        <v>31</v>
      </c>
      <c r="H172">
        <v>4812.41</v>
      </c>
      <c r="I172">
        <v>5088</v>
      </c>
      <c r="J172" t="s">
        <v>17</v>
      </c>
      <c r="K172">
        <v>0.09</v>
      </c>
      <c r="L172" t="s">
        <v>28</v>
      </c>
      <c r="M172" t="s">
        <v>19</v>
      </c>
      <c r="N172" t="str">
        <f t="shared" si="10"/>
        <v>West-Eve</v>
      </c>
      <c r="O172">
        <f t="shared" si="11"/>
        <v>235808.09</v>
      </c>
      <c r="P172">
        <f t="shared" si="12"/>
        <v>249312</v>
      </c>
      <c r="Q172">
        <f t="shared" si="13"/>
        <v>13503.910000000003</v>
      </c>
      <c r="R172">
        <f t="shared" si="14"/>
        <v>5.4164701257861649</v>
      </c>
    </row>
    <row r="173" spans="1:18" x14ac:dyDescent="0.35">
      <c r="A173">
        <v>1071</v>
      </c>
      <c r="B173" s="1">
        <v>45229</v>
      </c>
      <c r="C173" t="s">
        <v>33</v>
      </c>
      <c r="D173" t="s">
        <v>20</v>
      </c>
      <c r="E173">
        <v>189.48</v>
      </c>
      <c r="F173">
        <v>22</v>
      </c>
      <c r="G173" t="s">
        <v>31</v>
      </c>
      <c r="H173">
        <v>2701.39</v>
      </c>
      <c r="I173">
        <v>3185.81</v>
      </c>
      <c r="J173" t="s">
        <v>27</v>
      </c>
      <c r="K173">
        <v>0.01</v>
      </c>
      <c r="L173" t="s">
        <v>25</v>
      </c>
      <c r="M173" t="s">
        <v>19</v>
      </c>
      <c r="N173" t="str">
        <f t="shared" si="10"/>
        <v>West-Alice</v>
      </c>
      <c r="O173">
        <f t="shared" si="11"/>
        <v>59430.579999999994</v>
      </c>
      <c r="P173">
        <f t="shared" si="12"/>
        <v>70087.819999999992</v>
      </c>
      <c r="Q173">
        <f t="shared" si="13"/>
        <v>10657.239999999998</v>
      </c>
      <c r="R173">
        <f t="shared" si="14"/>
        <v>15.205552120182936</v>
      </c>
    </row>
    <row r="174" spans="1:18" x14ac:dyDescent="0.35">
      <c r="A174">
        <v>1059</v>
      </c>
      <c r="B174" s="1">
        <v>45154</v>
      </c>
      <c r="C174" t="s">
        <v>33</v>
      </c>
      <c r="D174" t="s">
        <v>20</v>
      </c>
      <c r="E174">
        <v>3634.59</v>
      </c>
      <c r="F174">
        <v>21</v>
      </c>
      <c r="G174" t="s">
        <v>26</v>
      </c>
      <c r="H174">
        <v>3110.54</v>
      </c>
      <c r="I174">
        <v>3192.99</v>
      </c>
      <c r="J174" t="s">
        <v>27</v>
      </c>
      <c r="K174">
        <v>0.17</v>
      </c>
      <c r="L174" t="s">
        <v>28</v>
      </c>
      <c r="M174" t="s">
        <v>19</v>
      </c>
      <c r="N174" t="str">
        <f t="shared" si="10"/>
        <v>West-Alice</v>
      </c>
      <c r="O174">
        <f t="shared" si="11"/>
        <v>65321.34</v>
      </c>
      <c r="P174">
        <f t="shared" si="12"/>
        <v>67052.789999999994</v>
      </c>
      <c r="Q174">
        <f t="shared" si="13"/>
        <v>1731.4499999999971</v>
      </c>
      <c r="R174">
        <f t="shared" si="14"/>
        <v>2.5822191738777716</v>
      </c>
    </row>
    <row r="175" spans="1:18" x14ac:dyDescent="0.35">
      <c r="A175">
        <v>1086</v>
      </c>
      <c r="B175" s="1">
        <v>45291</v>
      </c>
      <c r="C175" t="s">
        <v>33</v>
      </c>
      <c r="D175" t="s">
        <v>23</v>
      </c>
      <c r="E175">
        <v>9269.32</v>
      </c>
      <c r="F175">
        <v>33</v>
      </c>
      <c r="G175" t="s">
        <v>26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21</v>
      </c>
      <c r="N175" t="str">
        <f t="shared" si="10"/>
        <v>South-Alice</v>
      </c>
      <c r="O175">
        <f t="shared" si="11"/>
        <v>112837.89</v>
      </c>
      <c r="P175">
        <f t="shared" si="12"/>
        <v>128381.87999999967</v>
      </c>
      <c r="Q175">
        <f t="shared" si="13"/>
        <v>15543.989999999671</v>
      </c>
      <c r="R175">
        <f t="shared" si="14"/>
        <v>12.107619860372594</v>
      </c>
    </row>
    <row r="176" spans="1:18" x14ac:dyDescent="0.35">
      <c r="A176">
        <v>1028</v>
      </c>
      <c r="B176" s="1">
        <v>45142</v>
      </c>
      <c r="C176" t="s">
        <v>33</v>
      </c>
      <c r="D176" t="s">
        <v>15</v>
      </c>
      <c r="E176">
        <v>2363.9</v>
      </c>
      <c r="F176">
        <v>38</v>
      </c>
      <c r="G176" t="s">
        <v>26</v>
      </c>
      <c r="H176">
        <v>3350.32</v>
      </c>
      <c r="I176">
        <v>3449.94</v>
      </c>
      <c r="J176" t="s">
        <v>27</v>
      </c>
      <c r="K176">
        <v>0.26</v>
      </c>
      <c r="L176" t="s">
        <v>18</v>
      </c>
      <c r="M176" t="s">
        <v>19</v>
      </c>
      <c r="N176" t="str">
        <f t="shared" si="10"/>
        <v>North-Alice</v>
      </c>
      <c r="O176">
        <f t="shared" si="11"/>
        <v>127312.16</v>
      </c>
      <c r="P176">
        <f t="shared" si="12"/>
        <v>131097.72</v>
      </c>
      <c r="Q176">
        <f t="shared" si="13"/>
        <v>3785.5599999999977</v>
      </c>
      <c r="R176">
        <f t="shared" si="14"/>
        <v>2.8875864507788522</v>
      </c>
    </row>
    <row r="177" spans="1:18" x14ac:dyDescent="0.35">
      <c r="A177">
        <v>1066</v>
      </c>
      <c r="B177" s="1">
        <v>45110</v>
      </c>
      <c r="C177" t="s">
        <v>29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25</v>
      </c>
      <c r="M177" t="s">
        <v>21</v>
      </c>
      <c r="N177" t="str">
        <f t="shared" si="10"/>
        <v>North-Charlie</v>
      </c>
      <c r="O177">
        <f t="shared" si="11"/>
        <v>38689.65</v>
      </c>
      <c r="P177">
        <f t="shared" si="12"/>
        <v>43010.400000000001</v>
      </c>
      <c r="Q177">
        <f t="shared" si="13"/>
        <v>4320.75</v>
      </c>
      <c r="R177">
        <f t="shared" si="14"/>
        <v>10.04582612577423</v>
      </c>
    </row>
    <row r="178" spans="1:18" x14ac:dyDescent="0.35">
      <c r="A178">
        <v>1042</v>
      </c>
      <c r="B178" s="1">
        <v>44941</v>
      </c>
      <c r="C178" t="s">
        <v>22</v>
      </c>
      <c r="D178" t="s">
        <v>23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27</v>
      </c>
      <c r="K178">
        <v>0.16</v>
      </c>
      <c r="L178" t="s">
        <v>18</v>
      </c>
      <c r="M178" t="s">
        <v>21</v>
      </c>
      <c r="N178" t="str">
        <f t="shared" si="10"/>
        <v>South-David</v>
      </c>
      <c r="O178">
        <f t="shared" si="11"/>
        <v>99929.48000000001</v>
      </c>
      <c r="P178">
        <f t="shared" si="12"/>
        <v>108887.06000000001</v>
      </c>
      <c r="Q178">
        <f t="shared" si="13"/>
        <v>8957.5800000000017</v>
      </c>
      <c r="R178">
        <f t="shared" si="14"/>
        <v>8.2264871509984747</v>
      </c>
    </row>
    <row r="179" spans="1:18" x14ac:dyDescent="0.35">
      <c r="A179">
        <v>1045</v>
      </c>
      <c r="B179" s="1">
        <v>45083</v>
      </c>
      <c r="C179" t="s">
        <v>14</v>
      </c>
      <c r="D179" t="s">
        <v>23</v>
      </c>
      <c r="E179">
        <v>3284.53</v>
      </c>
      <c r="F179">
        <v>15</v>
      </c>
      <c r="G179" t="s">
        <v>31</v>
      </c>
      <c r="H179">
        <v>316.22000000000003</v>
      </c>
      <c r="I179">
        <v>799.04</v>
      </c>
      <c r="J179" t="s">
        <v>27</v>
      </c>
      <c r="K179">
        <v>0</v>
      </c>
      <c r="L179" t="s">
        <v>25</v>
      </c>
      <c r="M179" t="s">
        <v>19</v>
      </c>
      <c r="N179" t="str">
        <f t="shared" si="10"/>
        <v>South-Bob</v>
      </c>
      <c r="O179">
        <f t="shared" si="11"/>
        <v>4743.3</v>
      </c>
      <c r="P179">
        <f t="shared" si="12"/>
        <v>11985.599999999999</v>
      </c>
      <c r="Q179">
        <f t="shared" si="13"/>
        <v>7242.2999999999984</v>
      </c>
      <c r="R179">
        <f t="shared" si="14"/>
        <v>60.425010012014411</v>
      </c>
    </row>
    <row r="180" spans="1:18" x14ac:dyDescent="0.35">
      <c r="A180">
        <v>1062</v>
      </c>
      <c r="B180" s="1">
        <v>45062</v>
      </c>
      <c r="C180" t="s">
        <v>29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27</v>
      </c>
      <c r="K180">
        <v>0.03</v>
      </c>
      <c r="L180" t="s">
        <v>18</v>
      </c>
      <c r="M180" t="s">
        <v>21</v>
      </c>
      <c r="N180" t="str">
        <f t="shared" si="10"/>
        <v>North-Charlie</v>
      </c>
      <c r="O180">
        <f t="shared" si="11"/>
        <v>7328.7199999999993</v>
      </c>
      <c r="P180">
        <f t="shared" si="12"/>
        <v>13954.560000000001</v>
      </c>
      <c r="Q180">
        <f t="shared" si="13"/>
        <v>6625.840000000002</v>
      </c>
      <c r="R180">
        <f t="shared" si="14"/>
        <v>47.481540084388193</v>
      </c>
    </row>
    <row r="181" spans="1:18" x14ac:dyDescent="0.35">
      <c r="A181">
        <v>1057</v>
      </c>
      <c r="B181" s="1">
        <v>45187</v>
      </c>
      <c r="C181" t="s">
        <v>29</v>
      </c>
      <c r="D181" t="s">
        <v>20</v>
      </c>
      <c r="E181">
        <v>7315.73</v>
      </c>
      <c r="F181">
        <v>25</v>
      </c>
      <c r="G181" t="s">
        <v>24</v>
      </c>
      <c r="H181">
        <v>1821.91</v>
      </c>
      <c r="I181">
        <v>2027.74</v>
      </c>
      <c r="J181" t="s">
        <v>27</v>
      </c>
      <c r="K181">
        <v>0.02</v>
      </c>
      <c r="L181" t="s">
        <v>25</v>
      </c>
      <c r="M181" t="s">
        <v>21</v>
      </c>
      <c r="N181" t="str">
        <f t="shared" si="10"/>
        <v>West-Charlie</v>
      </c>
      <c r="O181">
        <f t="shared" si="11"/>
        <v>45547.75</v>
      </c>
      <c r="P181">
        <f t="shared" si="12"/>
        <v>50693.5</v>
      </c>
      <c r="Q181">
        <f t="shared" si="13"/>
        <v>5145.75</v>
      </c>
      <c r="R181">
        <f t="shared" si="14"/>
        <v>10.150709657056625</v>
      </c>
    </row>
    <row r="182" spans="1:18" x14ac:dyDescent="0.35">
      <c r="A182">
        <v>1006</v>
      </c>
      <c r="B182" s="1">
        <v>45083</v>
      </c>
      <c r="C182" t="s">
        <v>14</v>
      </c>
      <c r="D182" t="s">
        <v>30</v>
      </c>
      <c r="E182">
        <v>1044.45</v>
      </c>
      <c r="F182">
        <v>21</v>
      </c>
      <c r="G182" t="s">
        <v>31</v>
      </c>
      <c r="H182">
        <v>1701.62</v>
      </c>
      <c r="I182">
        <v>2193.2199999999998</v>
      </c>
      <c r="J182" t="s">
        <v>27</v>
      </c>
      <c r="K182">
        <v>0.22</v>
      </c>
      <c r="L182" t="s">
        <v>25</v>
      </c>
      <c r="M182" t="s">
        <v>21</v>
      </c>
      <c r="N182" t="str">
        <f t="shared" si="10"/>
        <v>East-Bob</v>
      </c>
      <c r="O182">
        <f t="shared" si="11"/>
        <v>35734.019999999997</v>
      </c>
      <c r="P182">
        <f t="shared" si="12"/>
        <v>46057.619999999995</v>
      </c>
      <c r="Q182">
        <f t="shared" si="13"/>
        <v>10323.599999999999</v>
      </c>
      <c r="R182">
        <f t="shared" si="14"/>
        <v>22.414532057887488</v>
      </c>
    </row>
    <row r="183" spans="1:18" x14ac:dyDescent="0.35">
      <c r="A183">
        <v>1028</v>
      </c>
      <c r="B183" s="1">
        <v>44973</v>
      </c>
      <c r="C183" t="s">
        <v>14</v>
      </c>
      <c r="D183" t="s">
        <v>30</v>
      </c>
      <c r="E183">
        <v>4344.1499999999996</v>
      </c>
      <c r="F183">
        <v>24</v>
      </c>
      <c r="G183" t="s">
        <v>31</v>
      </c>
      <c r="H183">
        <v>1969.09</v>
      </c>
      <c r="I183">
        <v>2241.96</v>
      </c>
      <c r="J183" t="s">
        <v>17</v>
      </c>
      <c r="K183">
        <v>0.02</v>
      </c>
      <c r="L183" t="s">
        <v>28</v>
      </c>
      <c r="M183" t="s">
        <v>19</v>
      </c>
      <c r="N183" t="str">
        <f t="shared" si="10"/>
        <v>East-Bob</v>
      </c>
      <c r="O183">
        <f t="shared" si="11"/>
        <v>47258.159999999996</v>
      </c>
      <c r="P183">
        <f t="shared" si="12"/>
        <v>53807.040000000001</v>
      </c>
      <c r="Q183">
        <f t="shared" si="13"/>
        <v>6548.8800000000047</v>
      </c>
      <c r="R183">
        <f t="shared" si="14"/>
        <v>12.171046762654115</v>
      </c>
    </row>
    <row r="184" spans="1:18" x14ac:dyDescent="0.35">
      <c r="A184">
        <v>1028</v>
      </c>
      <c r="B184" s="1">
        <v>45250</v>
      </c>
      <c r="C184" t="s">
        <v>33</v>
      </c>
      <c r="D184" t="s">
        <v>30</v>
      </c>
      <c r="E184">
        <v>388.78</v>
      </c>
      <c r="F184">
        <v>5</v>
      </c>
      <c r="G184" t="s">
        <v>24</v>
      </c>
      <c r="H184">
        <v>734.92</v>
      </c>
      <c r="I184">
        <v>991.21</v>
      </c>
      <c r="J184" t="s">
        <v>17</v>
      </c>
      <c r="K184">
        <v>0.21</v>
      </c>
      <c r="L184" t="s">
        <v>28</v>
      </c>
      <c r="M184" t="s">
        <v>19</v>
      </c>
      <c r="N184" t="str">
        <f t="shared" si="10"/>
        <v>East-Alice</v>
      </c>
      <c r="O184">
        <f t="shared" si="11"/>
        <v>3674.6</v>
      </c>
      <c r="P184">
        <f t="shared" si="12"/>
        <v>4956.05</v>
      </c>
      <c r="Q184">
        <f t="shared" si="13"/>
        <v>1281.4500000000003</v>
      </c>
      <c r="R184">
        <f t="shared" si="14"/>
        <v>25.856276671946414</v>
      </c>
    </row>
    <row r="185" spans="1:18" x14ac:dyDescent="0.35">
      <c r="A185">
        <v>1044</v>
      </c>
      <c r="B185" s="1">
        <v>45258</v>
      </c>
      <c r="C185" t="s">
        <v>29</v>
      </c>
      <c r="D185" t="s">
        <v>20</v>
      </c>
      <c r="E185">
        <v>4860.8100000000004</v>
      </c>
      <c r="F185">
        <v>6</v>
      </c>
      <c r="G185" t="s">
        <v>31</v>
      </c>
      <c r="H185">
        <v>3703.93</v>
      </c>
      <c r="I185">
        <v>3840.24</v>
      </c>
      <c r="J185" t="s">
        <v>27</v>
      </c>
      <c r="K185">
        <v>7.0000000000000007E-2</v>
      </c>
      <c r="L185" t="s">
        <v>28</v>
      </c>
      <c r="M185" t="s">
        <v>19</v>
      </c>
      <c r="N185" t="str">
        <f t="shared" si="10"/>
        <v>West-Charlie</v>
      </c>
      <c r="O185">
        <f t="shared" si="11"/>
        <v>22223.579999999998</v>
      </c>
      <c r="P185">
        <f t="shared" si="12"/>
        <v>23041.439999999999</v>
      </c>
      <c r="Q185">
        <f t="shared" si="13"/>
        <v>817.86000000000058</v>
      </c>
      <c r="R185">
        <f t="shared" si="14"/>
        <v>3.5495177384746812</v>
      </c>
    </row>
    <row r="186" spans="1:18" x14ac:dyDescent="0.35">
      <c r="A186">
        <v>1084</v>
      </c>
      <c r="B186" s="1">
        <v>45099</v>
      </c>
      <c r="C186" t="s">
        <v>32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28</v>
      </c>
      <c r="M186" t="s">
        <v>19</v>
      </c>
      <c r="N186" t="str">
        <f t="shared" si="10"/>
        <v>North-Eve</v>
      </c>
      <c r="O186">
        <f t="shared" si="11"/>
        <v>210306.53</v>
      </c>
      <c r="P186">
        <f t="shared" si="12"/>
        <v>227636.36000000002</v>
      </c>
      <c r="Q186">
        <f t="shared" si="13"/>
        <v>17329.830000000016</v>
      </c>
      <c r="R186">
        <f t="shared" si="14"/>
        <v>7.6129446104304321</v>
      </c>
    </row>
    <row r="187" spans="1:18" x14ac:dyDescent="0.35">
      <c r="A187">
        <v>1030</v>
      </c>
      <c r="B187" s="1">
        <v>45056</v>
      </c>
      <c r="C187" t="s">
        <v>14</v>
      </c>
      <c r="D187" t="s">
        <v>23</v>
      </c>
      <c r="E187">
        <v>1273.18</v>
      </c>
      <c r="F187">
        <v>43</v>
      </c>
      <c r="G187" t="s">
        <v>26</v>
      </c>
      <c r="H187">
        <v>4696.6400000000003</v>
      </c>
      <c r="I187">
        <v>4713.68</v>
      </c>
      <c r="J187" t="s">
        <v>17</v>
      </c>
      <c r="K187">
        <v>0.24</v>
      </c>
      <c r="L187" t="s">
        <v>25</v>
      </c>
      <c r="M187" t="s">
        <v>19</v>
      </c>
      <c r="N187" t="str">
        <f t="shared" si="10"/>
        <v>South-Bob</v>
      </c>
      <c r="O187">
        <f t="shared" si="11"/>
        <v>201955.52000000002</v>
      </c>
      <c r="P187">
        <f t="shared" si="12"/>
        <v>202688.24000000002</v>
      </c>
      <c r="Q187">
        <f t="shared" si="13"/>
        <v>732.72000000000116</v>
      </c>
      <c r="R187">
        <f t="shared" si="14"/>
        <v>0.36150099285484005</v>
      </c>
    </row>
    <row r="188" spans="1:18" x14ac:dyDescent="0.3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24</v>
      </c>
      <c r="H188">
        <v>2487.19</v>
      </c>
      <c r="I188">
        <v>2521.4499999999998</v>
      </c>
      <c r="J188" t="s">
        <v>27</v>
      </c>
      <c r="K188">
        <v>0.28999999999999998</v>
      </c>
      <c r="L188" t="s">
        <v>18</v>
      </c>
      <c r="M188" t="s">
        <v>19</v>
      </c>
      <c r="N188" t="str">
        <f t="shared" si="10"/>
        <v>North-Bob</v>
      </c>
      <c r="O188">
        <f t="shared" si="11"/>
        <v>119385.12</v>
      </c>
      <c r="P188">
        <f t="shared" si="12"/>
        <v>121029.59999999999</v>
      </c>
      <c r="Q188">
        <f t="shared" si="13"/>
        <v>1644.4799999999959</v>
      </c>
      <c r="R188">
        <f t="shared" si="14"/>
        <v>1.3587419936941012</v>
      </c>
    </row>
    <row r="189" spans="1:18" x14ac:dyDescent="0.35">
      <c r="A189">
        <v>1075</v>
      </c>
      <c r="B189" s="1">
        <v>45041</v>
      </c>
      <c r="C189" t="s">
        <v>22</v>
      </c>
      <c r="D189" t="s">
        <v>20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25</v>
      </c>
      <c r="M189" t="s">
        <v>19</v>
      </c>
      <c r="N189" t="str">
        <f t="shared" si="10"/>
        <v>West-David</v>
      </c>
      <c r="O189">
        <f t="shared" si="11"/>
        <v>154848.76</v>
      </c>
      <c r="P189">
        <f t="shared" si="12"/>
        <v>168211.12</v>
      </c>
      <c r="Q189">
        <f t="shared" si="13"/>
        <v>13362.359999999986</v>
      </c>
      <c r="R189">
        <f t="shared" si="14"/>
        <v>7.9438030018467192</v>
      </c>
    </row>
    <row r="190" spans="1:18" x14ac:dyDescent="0.35">
      <c r="A190">
        <v>1092</v>
      </c>
      <c r="B190" s="1">
        <v>45169</v>
      </c>
      <c r="C190" t="s">
        <v>32</v>
      </c>
      <c r="D190" t="s">
        <v>23</v>
      </c>
      <c r="E190">
        <v>9203.36</v>
      </c>
      <c r="F190">
        <v>47</v>
      </c>
      <c r="G190" t="s">
        <v>24</v>
      </c>
      <c r="H190">
        <v>4284.9799999999996</v>
      </c>
      <c r="I190">
        <v>4462.3999999999996</v>
      </c>
      <c r="J190" t="s">
        <v>27</v>
      </c>
      <c r="K190">
        <v>0.28000000000000003</v>
      </c>
      <c r="L190" t="s">
        <v>28</v>
      </c>
      <c r="M190" t="s">
        <v>21</v>
      </c>
      <c r="N190" t="str">
        <f t="shared" si="10"/>
        <v>South-Eve</v>
      </c>
      <c r="O190">
        <f t="shared" si="11"/>
        <v>201394.05999999997</v>
      </c>
      <c r="P190">
        <f t="shared" si="12"/>
        <v>209732.8</v>
      </c>
      <c r="Q190">
        <f t="shared" si="13"/>
        <v>8338.7400000000198</v>
      </c>
      <c r="R190">
        <f t="shared" si="14"/>
        <v>3.9758874148440397</v>
      </c>
    </row>
    <row r="191" spans="1:18" x14ac:dyDescent="0.35">
      <c r="A191">
        <v>1089</v>
      </c>
      <c r="B191" s="1">
        <v>45218</v>
      </c>
      <c r="C191" t="s">
        <v>32</v>
      </c>
      <c r="D191" t="s">
        <v>20</v>
      </c>
      <c r="E191">
        <v>9933.2199999999993</v>
      </c>
      <c r="F191">
        <v>23</v>
      </c>
      <c r="G191" t="s">
        <v>24</v>
      </c>
      <c r="H191">
        <v>2120.54</v>
      </c>
      <c r="I191">
        <v>2597.67</v>
      </c>
      <c r="J191" t="s">
        <v>17</v>
      </c>
      <c r="K191">
        <v>0.26</v>
      </c>
      <c r="L191" t="s">
        <v>28</v>
      </c>
      <c r="M191" t="s">
        <v>21</v>
      </c>
      <c r="N191" t="str">
        <f t="shared" si="10"/>
        <v>West-Eve</v>
      </c>
      <c r="O191">
        <f t="shared" si="11"/>
        <v>48772.42</v>
      </c>
      <c r="P191">
        <f t="shared" si="12"/>
        <v>59746.41</v>
      </c>
      <c r="Q191">
        <f t="shared" si="13"/>
        <v>10973.990000000005</v>
      </c>
      <c r="R191">
        <f t="shared" si="14"/>
        <v>18.367614054133135</v>
      </c>
    </row>
    <row r="192" spans="1:18" x14ac:dyDescent="0.35">
      <c r="A192">
        <v>1062</v>
      </c>
      <c r="B192" s="1">
        <v>45208</v>
      </c>
      <c r="C192" t="s">
        <v>14</v>
      </c>
      <c r="D192" t="s">
        <v>30</v>
      </c>
      <c r="E192">
        <v>544.62</v>
      </c>
      <c r="F192">
        <v>4</v>
      </c>
      <c r="G192" t="s">
        <v>31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tr">
        <f t="shared" si="10"/>
        <v>East-Bob</v>
      </c>
      <c r="O192">
        <f t="shared" si="11"/>
        <v>6326.36</v>
      </c>
      <c r="P192">
        <f t="shared" si="12"/>
        <v>8136.5999999999603</v>
      </c>
      <c r="Q192">
        <f t="shared" si="13"/>
        <v>1810.2399999999607</v>
      </c>
      <c r="R192">
        <f t="shared" si="14"/>
        <v>22.248113462625291</v>
      </c>
    </row>
    <row r="193" spans="1:18" x14ac:dyDescent="0.35">
      <c r="A193">
        <v>1097</v>
      </c>
      <c r="B193" s="1">
        <v>45225</v>
      </c>
      <c r="C193" t="s">
        <v>33</v>
      </c>
      <c r="D193" t="s">
        <v>30</v>
      </c>
      <c r="E193">
        <v>7633.98</v>
      </c>
      <c r="F193">
        <v>27</v>
      </c>
      <c r="G193" t="s">
        <v>31</v>
      </c>
      <c r="H193">
        <v>4686.79</v>
      </c>
      <c r="I193">
        <v>5046.51</v>
      </c>
      <c r="J193" t="s">
        <v>17</v>
      </c>
      <c r="K193">
        <v>0.05</v>
      </c>
      <c r="L193" t="s">
        <v>28</v>
      </c>
      <c r="M193" t="s">
        <v>21</v>
      </c>
      <c r="N193" t="str">
        <f t="shared" si="10"/>
        <v>East-Alice</v>
      </c>
      <c r="O193">
        <f t="shared" si="11"/>
        <v>126543.33</v>
      </c>
      <c r="P193">
        <f t="shared" si="12"/>
        <v>136255.77000000002</v>
      </c>
      <c r="Q193">
        <f t="shared" si="13"/>
        <v>9712.4400000000169</v>
      </c>
      <c r="R193">
        <f t="shared" si="14"/>
        <v>7.1280944652839402</v>
      </c>
    </row>
    <row r="194" spans="1:18" x14ac:dyDescent="0.35">
      <c r="A194">
        <v>1001</v>
      </c>
      <c r="B194" s="1">
        <v>45209</v>
      </c>
      <c r="C194" t="s">
        <v>22</v>
      </c>
      <c r="D194" t="s">
        <v>20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25</v>
      </c>
      <c r="M194" t="s">
        <v>19</v>
      </c>
      <c r="N194" t="str">
        <f t="shared" si="10"/>
        <v>West-David</v>
      </c>
      <c r="O194">
        <f t="shared" si="11"/>
        <v>46846.799999999996</v>
      </c>
      <c r="P194">
        <f t="shared" si="12"/>
        <v>54242.819999999992</v>
      </c>
      <c r="Q194">
        <f t="shared" si="13"/>
        <v>7396.0199999999968</v>
      </c>
      <c r="R194">
        <f t="shared" si="14"/>
        <v>13.635021188057697</v>
      </c>
    </row>
    <row r="195" spans="1:18" x14ac:dyDescent="0.35">
      <c r="A195">
        <v>1027</v>
      </c>
      <c r="B195" s="1">
        <v>44995</v>
      </c>
      <c r="C195" t="s">
        <v>32</v>
      </c>
      <c r="D195" t="s">
        <v>23</v>
      </c>
      <c r="E195">
        <v>3985.34</v>
      </c>
      <c r="F195">
        <v>21</v>
      </c>
      <c r="G195" t="s">
        <v>24</v>
      </c>
      <c r="H195">
        <v>2511.41</v>
      </c>
      <c r="I195">
        <v>2848.3999999999901</v>
      </c>
      <c r="J195" t="s">
        <v>17</v>
      </c>
      <c r="K195">
        <v>0.06</v>
      </c>
      <c r="L195" t="s">
        <v>25</v>
      </c>
      <c r="M195" t="s">
        <v>19</v>
      </c>
      <c r="N195" t="str">
        <f t="shared" ref="N195:N258" si="15">D195 &amp; "-" &amp; C195</f>
        <v>South-Eve</v>
      </c>
      <c r="O195">
        <f t="shared" ref="O195:O258" si="16">F195*H195</f>
        <v>52739.61</v>
      </c>
      <c r="P195">
        <f t="shared" ref="P195:P258" si="17">F195*I195</f>
        <v>59816.39999999979</v>
      </c>
      <c r="Q195">
        <f t="shared" ref="Q195:Q258" si="18">P195-O195</f>
        <v>7076.7899999997899</v>
      </c>
      <c r="R195">
        <f t="shared" ref="R195:R258" si="19">(Q195/P195)*100</f>
        <v>11.830852408369301</v>
      </c>
    </row>
    <row r="196" spans="1:18" x14ac:dyDescent="0.35">
      <c r="A196">
        <v>1062</v>
      </c>
      <c r="B196" s="1">
        <v>45074</v>
      </c>
      <c r="C196" t="s">
        <v>14</v>
      </c>
      <c r="D196" t="s">
        <v>23</v>
      </c>
      <c r="E196">
        <v>7567.22</v>
      </c>
      <c r="F196">
        <v>28</v>
      </c>
      <c r="G196" t="s">
        <v>31</v>
      </c>
      <c r="H196">
        <v>933.16</v>
      </c>
      <c r="I196">
        <v>1004.69999999999</v>
      </c>
      <c r="J196" t="s">
        <v>17</v>
      </c>
      <c r="K196">
        <v>0.18</v>
      </c>
      <c r="L196" t="s">
        <v>25</v>
      </c>
      <c r="M196" t="s">
        <v>19</v>
      </c>
      <c r="N196" t="str">
        <f t="shared" si="15"/>
        <v>South-Bob</v>
      </c>
      <c r="O196">
        <f t="shared" si="16"/>
        <v>26128.48</v>
      </c>
      <c r="P196">
        <f t="shared" si="17"/>
        <v>28131.599999999722</v>
      </c>
      <c r="Q196">
        <f t="shared" si="18"/>
        <v>2003.1199999997225</v>
      </c>
      <c r="R196">
        <f t="shared" si="19"/>
        <v>7.1205334925839345</v>
      </c>
    </row>
    <row r="197" spans="1:18" x14ac:dyDescent="0.35">
      <c r="A197">
        <v>1077</v>
      </c>
      <c r="B197" s="1">
        <v>44937</v>
      </c>
      <c r="C197" t="s">
        <v>32</v>
      </c>
      <c r="D197" t="s">
        <v>15</v>
      </c>
      <c r="E197">
        <v>9192.42</v>
      </c>
      <c r="F197">
        <v>35</v>
      </c>
      <c r="G197" t="s">
        <v>31</v>
      </c>
      <c r="H197">
        <v>585.37</v>
      </c>
      <c r="I197">
        <v>970.49</v>
      </c>
      <c r="J197" t="s">
        <v>17</v>
      </c>
      <c r="K197">
        <v>0.15</v>
      </c>
      <c r="L197" t="s">
        <v>25</v>
      </c>
      <c r="M197" t="s">
        <v>21</v>
      </c>
      <c r="N197" t="str">
        <f t="shared" si="15"/>
        <v>North-Eve</v>
      </c>
      <c r="O197">
        <f t="shared" si="16"/>
        <v>20487.95</v>
      </c>
      <c r="P197">
        <f t="shared" si="17"/>
        <v>33967.15</v>
      </c>
      <c r="Q197">
        <f t="shared" si="18"/>
        <v>13479.2</v>
      </c>
      <c r="R197">
        <f t="shared" si="19"/>
        <v>39.683046708363818</v>
      </c>
    </row>
    <row r="198" spans="1:18" x14ac:dyDescent="0.35">
      <c r="A198">
        <v>1003</v>
      </c>
      <c r="B198" s="1">
        <v>45180</v>
      </c>
      <c r="C198" t="s">
        <v>22</v>
      </c>
      <c r="D198" t="s">
        <v>30</v>
      </c>
      <c r="E198">
        <v>9514.19</v>
      </c>
      <c r="F198">
        <v>22</v>
      </c>
      <c r="G198" t="s">
        <v>24</v>
      </c>
      <c r="H198">
        <v>4218.43</v>
      </c>
      <c r="I198">
        <v>4331.42</v>
      </c>
      <c r="J198" t="s">
        <v>27</v>
      </c>
      <c r="K198">
        <v>0.26</v>
      </c>
      <c r="L198" t="s">
        <v>25</v>
      </c>
      <c r="M198" t="s">
        <v>19</v>
      </c>
      <c r="N198" t="str">
        <f t="shared" si="15"/>
        <v>East-David</v>
      </c>
      <c r="O198">
        <f t="shared" si="16"/>
        <v>92805.46</v>
      </c>
      <c r="P198">
        <f t="shared" si="17"/>
        <v>95291.24</v>
      </c>
      <c r="Q198">
        <f t="shared" si="18"/>
        <v>2485.7799999999988</v>
      </c>
      <c r="R198">
        <f t="shared" si="19"/>
        <v>2.6086133415831285</v>
      </c>
    </row>
    <row r="199" spans="1:18" x14ac:dyDescent="0.35">
      <c r="A199">
        <v>1070</v>
      </c>
      <c r="B199" s="1">
        <v>45256</v>
      </c>
      <c r="C199" t="s">
        <v>22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27</v>
      </c>
      <c r="K199">
        <v>0.28999999999999998</v>
      </c>
      <c r="L199" t="s">
        <v>18</v>
      </c>
      <c r="M199" t="s">
        <v>19</v>
      </c>
      <c r="N199" t="str">
        <f t="shared" si="15"/>
        <v>North-David</v>
      </c>
      <c r="O199">
        <f t="shared" si="16"/>
        <v>123598.39999999999</v>
      </c>
      <c r="P199">
        <f t="shared" si="17"/>
        <v>130338</v>
      </c>
      <c r="Q199">
        <f t="shared" si="18"/>
        <v>6739.6000000000058</v>
      </c>
      <c r="R199">
        <f t="shared" si="19"/>
        <v>5.1708634473446011</v>
      </c>
    </row>
    <row r="200" spans="1:18" x14ac:dyDescent="0.35">
      <c r="A200">
        <v>1072</v>
      </c>
      <c r="B200" s="1">
        <v>45286</v>
      </c>
      <c r="C200" t="s">
        <v>29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27</v>
      </c>
      <c r="K200">
        <v>0.12</v>
      </c>
      <c r="L200" t="s">
        <v>25</v>
      </c>
      <c r="M200" t="s">
        <v>19</v>
      </c>
      <c r="N200" t="str">
        <f t="shared" si="15"/>
        <v>North-Charlie</v>
      </c>
      <c r="O200">
        <f t="shared" si="16"/>
        <v>38245.089999999997</v>
      </c>
      <c r="P200">
        <f t="shared" si="17"/>
        <v>47707.75</v>
      </c>
      <c r="Q200">
        <f t="shared" si="18"/>
        <v>9462.6600000000035</v>
      </c>
      <c r="R200">
        <f t="shared" si="19"/>
        <v>19.83463902615404</v>
      </c>
    </row>
    <row r="201" spans="1:18" x14ac:dyDescent="0.35">
      <c r="A201">
        <v>1027</v>
      </c>
      <c r="B201" s="1">
        <v>44964</v>
      </c>
      <c r="C201" t="s">
        <v>14</v>
      </c>
      <c r="D201" t="s">
        <v>20</v>
      </c>
      <c r="E201">
        <v>7896.74</v>
      </c>
      <c r="F201">
        <v>3</v>
      </c>
      <c r="G201" t="s">
        <v>24</v>
      </c>
      <c r="H201">
        <v>999.09</v>
      </c>
      <c r="I201">
        <v>1271.99</v>
      </c>
      <c r="J201" t="s">
        <v>27</v>
      </c>
      <c r="K201">
        <v>0.15</v>
      </c>
      <c r="L201" t="s">
        <v>28</v>
      </c>
      <c r="M201" t="s">
        <v>19</v>
      </c>
      <c r="N201" t="str">
        <f t="shared" si="15"/>
        <v>West-Bob</v>
      </c>
      <c r="O201">
        <f t="shared" si="16"/>
        <v>2997.27</v>
      </c>
      <c r="P201">
        <f t="shared" si="17"/>
        <v>3815.9700000000003</v>
      </c>
      <c r="Q201">
        <f t="shared" si="18"/>
        <v>818.70000000000027</v>
      </c>
      <c r="R201">
        <f t="shared" si="19"/>
        <v>21.454571183735727</v>
      </c>
    </row>
    <row r="202" spans="1:18" x14ac:dyDescent="0.35">
      <c r="A202">
        <v>1009</v>
      </c>
      <c r="B202" s="1">
        <v>45060</v>
      </c>
      <c r="C202" t="s">
        <v>22</v>
      </c>
      <c r="D202" t="s">
        <v>20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28</v>
      </c>
      <c r="M202" t="s">
        <v>21</v>
      </c>
      <c r="N202" t="str">
        <f t="shared" si="15"/>
        <v>West-David</v>
      </c>
      <c r="O202">
        <f t="shared" si="16"/>
        <v>111988.4</v>
      </c>
      <c r="P202">
        <f t="shared" si="17"/>
        <v>129243.2</v>
      </c>
      <c r="Q202">
        <f t="shared" si="18"/>
        <v>17254.800000000003</v>
      </c>
      <c r="R202">
        <f t="shared" si="19"/>
        <v>13.350644366589501</v>
      </c>
    </row>
    <row r="203" spans="1:18" x14ac:dyDescent="0.35">
      <c r="A203">
        <v>1062</v>
      </c>
      <c r="B203" s="1">
        <v>45126</v>
      </c>
      <c r="C203" t="s">
        <v>29</v>
      </c>
      <c r="D203" t="s">
        <v>15</v>
      </c>
      <c r="E203">
        <v>5684.33</v>
      </c>
      <c r="F203">
        <v>10</v>
      </c>
      <c r="G203" t="s">
        <v>31</v>
      </c>
      <c r="H203">
        <v>2940.4</v>
      </c>
      <c r="I203">
        <v>3054.79</v>
      </c>
      <c r="J203" t="s">
        <v>17</v>
      </c>
      <c r="K203">
        <v>0.08</v>
      </c>
      <c r="L203" t="s">
        <v>28</v>
      </c>
      <c r="M203" t="s">
        <v>19</v>
      </c>
      <c r="N203" t="str">
        <f t="shared" si="15"/>
        <v>North-Charlie</v>
      </c>
      <c r="O203">
        <f t="shared" si="16"/>
        <v>29404</v>
      </c>
      <c r="P203">
        <f t="shared" si="17"/>
        <v>30547.9</v>
      </c>
      <c r="Q203">
        <f t="shared" si="18"/>
        <v>1143.9000000000015</v>
      </c>
      <c r="R203">
        <f t="shared" si="19"/>
        <v>3.7446109225184099</v>
      </c>
    </row>
    <row r="204" spans="1:18" x14ac:dyDescent="0.35">
      <c r="A204">
        <v>1037</v>
      </c>
      <c r="B204" s="1">
        <v>44949</v>
      </c>
      <c r="C204" t="s">
        <v>29</v>
      </c>
      <c r="D204" t="s">
        <v>30</v>
      </c>
      <c r="E204">
        <v>3649.93</v>
      </c>
      <c r="F204">
        <v>25</v>
      </c>
      <c r="G204" t="s">
        <v>24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28</v>
      </c>
      <c r="M204" t="s">
        <v>21</v>
      </c>
      <c r="N204" t="str">
        <f t="shared" si="15"/>
        <v>East-Charlie</v>
      </c>
      <c r="O204">
        <f t="shared" si="16"/>
        <v>26865.499999999996</v>
      </c>
      <c r="P204">
        <f t="shared" si="17"/>
        <v>34560.749999999753</v>
      </c>
      <c r="Q204">
        <f t="shared" si="18"/>
        <v>7695.2499999997563</v>
      </c>
      <c r="R204">
        <f t="shared" si="19"/>
        <v>22.265865179429877</v>
      </c>
    </row>
    <row r="205" spans="1:18" x14ac:dyDescent="0.35">
      <c r="A205">
        <v>1097</v>
      </c>
      <c r="B205" s="1">
        <v>45229</v>
      </c>
      <c r="C205" t="s">
        <v>32</v>
      </c>
      <c r="D205" t="s">
        <v>20</v>
      </c>
      <c r="E205">
        <v>6600.65</v>
      </c>
      <c r="F205">
        <v>49</v>
      </c>
      <c r="G205" t="s">
        <v>31</v>
      </c>
      <c r="H205">
        <v>4264.46</v>
      </c>
      <c r="I205">
        <v>4315.5200000000004</v>
      </c>
      <c r="J205" t="s">
        <v>27</v>
      </c>
      <c r="K205">
        <v>7.0000000000000007E-2</v>
      </c>
      <c r="L205" t="s">
        <v>18</v>
      </c>
      <c r="M205" t="s">
        <v>21</v>
      </c>
      <c r="N205" t="str">
        <f t="shared" si="15"/>
        <v>West-Eve</v>
      </c>
      <c r="O205">
        <f t="shared" si="16"/>
        <v>208958.54</v>
      </c>
      <c r="P205">
        <f t="shared" si="17"/>
        <v>211460.48000000001</v>
      </c>
      <c r="Q205">
        <f t="shared" si="18"/>
        <v>2501.9400000000023</v>
      </c>
      <c r="R205">
        <f t="shared" si="19"/>
        <v>1.1831714370458264</v>
      </c>
    </row>
    <row r="206" spans="1:18" x14ac:dyDescent="0.35">
      <c r="A206">
        <v>1051</v>
      </c>
      <c r="B206" s="1">
        <v>45272</v>
      </c>
      <c r="C206" t="s">
        <v>32</v>
      </c>
      <c r="D206" t="s">
        <v>15</v>
      </c>
      <c r="E206">
        <v>2479.9499999999998</v>
      </c>
      <c r="F206">
        <v>8</v>
      </c>
      <c r="G206" t="s">
        <v>26</v>
      </c>
      <c r="H206">
        <v>467.11</v>
      </c>
      <c r="I206">
        <v>792.21</v>
      </c>
      <c r="J206" t="s">
        <v>27</v>
      </c>
      <c r="K206">
        <v>0.2</v>
      </c>
      <c r="L206" t="s">
        <v>28</v>
      </c>
      <c r="M206" t="s">
        <v>19</v>
      </c>
      <c r="N206" t="str">
        <f t="shared" si="15"/>
        <v>North-Eve</v>
      </c>
      <c r="O206">
        <f t="shared" si="16"/>
        <v>3736.88</v>
      </c>
      <c r="P206">
        <f t="shared" si="17"/>
        <v>6337.68</v>
      </c>
      <c r="Q206">
        <f t="shared" si="18"/>
        <v>2600.8000000000002</v>
      </c>
      <c r="R206">
        <f t="shared" si="19"/>
        <v>41.03709874906906</v>
      </c>
    </row>
    <row r="207" spans="1:18" x14ac:dyDescent="0.35">
      <c r="A207">
        <v>1044</v>
      </c>
      <c r="B207" s="1">
        <v>45228</v>
      </c>
      <c r="C207" t="s">
        <v>29</v>
      </c>
      <c r="D207" t="s">
        <v>15</v>
      </c>
      <c r="E207">
        <v>1996.77</v>
      </c>
      <c r="F207">
        <v>11</v>
      </c>
      <c r="G207" t="s">
        <v>26</v>
      </c>
      <c r="H207">
        <v>1812.66</v>
      </c>
      <c r="I207">
        <v>2196.3000000000002</v>
      </c>
      <c r="J207" t="s">
        <v>27</v>
      </c>
      <c r="K207">
        <v>0.08</v>
      </c>
      <c r="L207" t="s">
        <v>18</v>
      </c>
      <c r="M207" t="s">
        <v>19</v>
      </c>
      <c r="N207" t="str">
        <f t="shared" si="15"/>
        <v>North-Charlie</v>
      </c>
      <c r="O207">
        <f t="shared" si="16"/>
        <v>19939.260000000002</v>
      </c>
      <c r="P207">
        <f t="shared" si="17"/>
        <v>24159.300000000003</v>
      </c>
      <c r="Q207">
        <f t="shared" si="18"/>
        <v>4220.0400000000009</v>
      </c>
      <c r="R207">
        <f t="shared" si="19"/>
        <v>17.467559076628877</v>
      </c>
    </row>
    <row r="208" spans="1:18" x14ac:dyDescent="0.35">
      <c r="A208">
        <v>1024</v>
      </c>
      <c r="B208" s="1">
        <v>45289</v>
      </c>
      <c r="C208" t="s">
        <v>32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28</v>
      </c>
      <c r="M208" t="s">
        <v>21</v>
      </c>
      <c r="N208" t="str">
        <f t="shared" si="15"/>
        <v>North-Eve</v>
      </c>
      <c r="O208">
        <f t="shared" si="16"/>
        <v>17089.5</v>
      </c>
      <c r="P208">
        <f t="shared" si="17"/>
        <v>18572.599999999999</v>
      </c>
      <c r="Q208">
        <f t="shared" si="18"/>
        <v>1483.0999999999985</v>
      </c>
      <c r="R208">
        <f t="shared" si="19"/>
        <v>7.9854193812390228</v>
      </c>
    </row>
    <row r="209" spans="1:18" x14ac:dyDescent="0.35">
      <c r="A209">
        <v>1079</v>
      </c>
      <c r="B209" s="1">
        <v>45144</v>
      </c>
      <c r="C209" t="s">
        <v>22</v>
      </c>
      <c r="D209" t="s">
        <v>15</v>
      </c>
      <c r="E209">
        <v>1107.8599999999999</v>
      </c>
      <c r="F209">
        <v>45</v>
      </c>
      <c r="G209" t="s">
        <v>26</v>
      </c>
      <c r="H209">
        <v>1406.9</v>
      </c>
      <c r="I209">
        <v>1547.35</v>
      </c>
      <c r="J209" t="s">
        <v>27</v>
      </c>
      <c r="K209">
        <v>0.17</v>
      </c>
      <c r="L209" t="s">
        <v>18</v>
      </c>
      <c r="M209" t="s">
        <v>21</v>
      </c>
      <c r="N209" t="str">
        <f t="shared" si="15"/>
        <v>North-David</v>
      </c>
      <c r="O209">
        <f t="shared" si="16"/>
        <v>63310.500000000007</v>
      </c>
      <c r="P209">
        <f t="shared" si="17"/>
        <v>69630.75</v>
      </c>
      <c r="Q209">
        <f t="shared" si="18"/>
        <v>6320.2499999999927</v>
      </c>
      <c r="R209">
        <f t="shared" si="19"/>
        <v>9.0768087375189737</v>
      </c>
    </row>
    <row r="210" spans="1:18" x14ac:dyDescent="0.35">
      <c r="A210">
        <v>1059</v>
      </c>
      <c r="B210" s="1">
        <v>45067</v>
      </c>
      <c r="C210" t="s">
        <v>33</v>
      </c>
      <c r="D210" t="s">
        <v>15</v>
      </c>
      <c r="E210">
        <v>5108.9799999999996</v>
      </c>
      <c r="F210">
        <v>37</v>
      </c>
      <c r="G210" t="s">
        <v>31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21</v>
      </c>
      <c r="N210" t="str">
        <f t="shared" si="15"/>
        <v>North-Alice</v>
      </c>
      <c r="O210">
        <f t="shared" si="16"/>
        <v>153438.63</v>
      </c>
      <c r="P210">
        <f t="shared" si="17"/>
        <v>154376.94999999963</v>
      </c>
      <c r="Q210">
        <f t="shared" si="18"/>
        <v>938.31999999962864</v>
      </c>
      <c r="R210">
        <f t="shared" si="19"/>
        <v>0.60781094586959439</v>
      </c>
    </row>
    <row r="211" spans="1:18" x14ac:dyDescent="0.35">
      <c r="A211">
        <v>1032</v>
      </c>
      <c r="B211" s="1">
        <v>45030</v>
      </c>
      <c r="C211" t="s">
        <v>22</v>
      </c>
      <c r="D211" t="s">
        <v>15</v>
      </c>
      <c r="E211">
        <v>2286.44</v>
      </c>
      <c r="F211">
        <v>45</v>
      </c>
      <c r="G211" t="s">
        <v>26</v>
      </c>
      <c r="H211">
        <v>3712.35</v>
      </c>
      <c r="I211">
        <v>3780.88</v>
      </c>
      <c r="J211" t="s">
        <v>27</v>
      </c>
      <c r="K211">
        <v>7.0000000000000007E-2</v>
      </c>
      <c r="L211" t="s">
        <v>18</v>
      </c>
      <c r="M211" t="s">
        <v>21</v>
      </c>
      <c r="N211" t="str">
        <f t="shared" si="15"/>
        <v>North-David</v>
      </c>
      <c r="O211">
        <f t="shared" si="16"/>
        <v>167055.75</v>
      </c>
      <c r="P211">
        <f t="shared" si="17"/>
        <v>170139.6</v>
      </c>
      <c r="Q211">
        <f t="shared" si="18"/>
        <v>3083.8500000000058</v>
      </c>
      <c r="R211">
        <f t="shared" si="19"/>
        <v>1.8125409957470251</v>
      </c>
    </row>
    <row r="212" spans="1:18" x14ac:dyDescent="0.35">
      <c r="A212">
        <v>1096</v>
      </c>
      <c r="B212" s="1">
        <v>45136</v>
      </c>
      <c r="C212" t="s">
        <v>29</v>
      </c>
      <c r="D212" t="s">
        <v>20</v>
      </c>
      <c r="E212">
        <v>485.41</v>
      </c>
      <c r="F212">
        <v>38</v>
      </c>
      <c r="G212" t="s">
        <v>31</v>
      </c>
      <c r="H212">
        <v>3955.66</v>
      </c>
      <c r="I212">
        <v>4270.59</v>
      </c>
      <c r="J212" t="s">
        <v>17</v>
      </c>
      <c r="K212">
        <v>0.15</v>
      </c>
      <c r="L212" t="s">
        <v>28</v>
      </c>
      <c r="M212" t="s">
        <v>19</v>
      </c>
      <c r="N212" t="str">
        <f t="shared" si="15"/>
        <v>West-Charlie</v>
      </c>
      <c r="O212">
        <f t="shared" si="16"/>
        <v>150315.07999999999</v>
      </c>
      <c r="P212">
        <f t="shared" si="17"/>
        <v>162282.42000000001</v>
      </c>
      <c r="Q212">
        <f t="shared" si="18"/>
        <v>11967.340000000026</v>
      </c>
      <c r="R212">
        <f t="shared" si="19"/>
        <v>7.3743908921249908</v>
      </c>
    </row>
    <row r="213" spans="1:18" x14ac:dyDescent="0.35">
      <c r="A213">
        <v>1088</v>
      </c>
      <c r="B213" s="1">
        <v>45037</v>
      </c>
      <c r="C213" t="s">
        <v>29</v>
      </c>
      <c r="D213" t="s">
        <v>30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27</v>
      </c>
      <c r="K213">
        <v>0.28999999999999998</v>
      </c>
      <c r="L213" t="s">
        <v>18</v>
      </c>
      <c r="M213" t="s">
        <v>21</v>
      </c>
      <c r="N213" t="str">
        <f t="shared" si="15"/>
        <v>East-Charlie</v>
      </c>
      <c r="O213">
        <f t="shared" si="16"/>
        <v>18547.82</v>
      </c>
      <c r="P213">
        <f t="shared" si="17"/>
        <v>32116.050000000003</v>
      </c>
      <c r="Q213">
        <f t="shared" si="18"/>
        <v>13568.230000000003</v>
      </c>
      <c r="R213">
        <f t="shared" si="19"/>
        <v>42.247505530723743</v>
      </c>
    </row>
    <row r="214" spans="1:18" x14ac:dyDescent="0.35">
      <c r="A214">
        <v>1052</v>
      </c>
      <c r="B214" s="1">
        <v>45030</v>
      </c>
      <c r="C214" t="s">
        <v>22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25</v>
      </c>
      <c r="M214" t="s">
        <v>21</v>
      </c>
      <c r="N214" t="str">
        <f t="shared" si="15"/>
        <v>North-David</v>
      </c>
      <c r="O214">
        <f t="shared" si="16"/>
        <v>3728.55</v>
      </c>
      <c r="P214">
        <f t="shared" si="17"/>
        <v>4284.55</v>
      </c>
      <c r="Q214">
        <f t="shared" si="18"/>
        <v>556</v>
      </c>
      <c r="R214">
        <f t="shared" si="19"/>
        <v>12.976858713283775</v>
      </c>
    </row>
    <row r="215" spans="1:18" x14ac:dyDescent="0.35">
      <c r="A215">
        <v>1062</v>
      </c>
      <c r="B215" s="1">
        <v>45242</v>
      </c>
      <c r="C215" t="s">
        <v>32</v>
      </c>
      <c r="D215" t="s">
        <v>23</v>
      </c>
      <c r="E215">
        <v>8681.0300000000007</v>
      </c>
      <c r="F215">
        <v>9</v>
      </c>
      <c r="G215" t="s">
        <v>31</v>
      </c>
      <c r="H215">
        <v>1468.05</v>
      </c>
      <c r="I215">
        <v>1838.21</v>
      </c>
      <c r="J215" t="s">
        <v>27</v>
      </c>
      <c r="K215">
        <v>0.15</v>
      </c>
      <c r="L215" t="s">
        <v>25</v>
      </c>
      <c r="M215" t="s">
        <v>21</v>
      </c>
      <c r="N215" t="str">
        <f t="shared" si="15"/>
        <v>South-Eve</v>
      </c>
      <c r="O215">
        <f t="shared" si="16"/>
        <v>13212.449999999999</v>
      </c>
      <c r="P215">
        <f t="shared" si="17"/>
        <v>16543.89</v>
      </c>
      <c r="Q215">
        <f t="shared" si="18"/>
        <v>3331.4400000000005</v>
      </c>
      <c r="R215">
        <f t="shared" si="19"/>
        <v>20.13698108485973</v>
      </c>
    </row>
    <row r="216" spans="1:18" x14ac:dyDescent="0.35">
      <c r="A216">
        <v>1058</v>
      </c>
      <c r="B216" s="1">
        <v>45097</v>
      </c>
      <c r="C216" t="s">
        <v>32</v>
      </c>
      <c r="D216" t="s">
        <v>20</v>
      </c>
      <c r="E216">
        <v>2896.54</v>
      </c>
      <c r="F216">
        <v>48</v>
      </c>
      <c r="G216" t="s">
        <v>26</v>
      </c>
      <c r="H216">
        <v>2614.48</v>
      </c>
      <c r="I216">
        <v>3049.04</v>
      </c>
      <c r="J216" t="s">
        <v>27</v>
      </c>
      <c r="K216">
        <v>0.1</v>
      </c>
      <c r="L216" t="s">
        <v>28</v>
      </c>
      <c r="M216" t="s">
        <v>21</v>
      </c>
      <c r="N216" t="str">
        <f t="shared" si="15"/>
        <v>West-Eve</v>
      </c>
      <c r="O216">
        <f t="shared" si="16"/>
        <v>125495.04000000001</v>
      </c>
      <c r="P216">
        <f t="shared" si="17"/>
        <v>146353.91999999998</v>
      </c>
      <c r="Q216">
        <f t="shared" si="18"/>
        <v>20858.879999999976</v>
      </c>
      <c r="R216">
        <f t="shared" si="19"/>
        <v>14.252354839556041</v>
      </c>
    </row>
    <row r="217" spans="1:18" x14ac:dyDescent="0.35">
      <c r="A217">
        <v>1052</v>
      </c>
      <c r="B217" s="1">
        <v>45282</v>
      </c>
      <c r="C217" t="s">
        <v>29</v>
      </c>
      <c r="D217" t="s">
        <v>20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25</v>
      </c>
      <c r="M217" t="s">
        <v>19</v>
      </c>
      <c r="N217" t="str">
        <f t="shared" si="15"/>
        <v>West-Charlie</v>
      </c>
      <c r="O217">
        <f t="shared" si="16"/>
        <v>7505.36</v>
      </c>
      <c r="P217">
        <f t="shared" si="17"/>
        <v>8035.82</v>
      </c>
      <c r="Q217">
        <f t="shared" si="18"/>
        <v>530.46</v>
      </c>
      <c r="R217">
        <f t="shared" si="19"/>
        <v>6.6011931576366827</v>
      </c>
    </row>
    <row r="218" spans="1:18" x14ac:dyDescent="0.3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24</v>
      </c>
      <c r="H218">
        <v>4190.83</v>
      </c>
      <c r="I218">
        <v>4528.7699999999904</v>
      </c>
      <c r="J218" t="s">
        <v>17</v>
      </c>
      <c r="K218">
        <v>0.22</v>
      </c>
      <c r="L218" t="s">
        <v>25</v>
      </c>
      <c r="M218" t="s">
        <v>19</v>
      </c>
      <c r="N218" t="str">
        <f t="shared" si="15"/>
        <v>North-Bob</v>
      </c>
      <c r="O218">
        <f t="shared" si="16"/>
        <v>4190.83</v>
      </c>
      <c r="P218">
        <f t="shared" si="17"/>
        <v>4528.7699999999904</v>
      </c>
      <c r="Q218">
        <f t="shared" si="18"/>
        <v>337.9399999999905</v>
      </c>
      <c r="R218">
        <f t="shared" si="19"/>
        <v>7.4620702751517793</v>
      </c>
    </row>
    <row r="219" spans="1:18" x14ac:dyDescent="0.35">
      <c r="A219">
        <v>1039</v>
      </c>
      <c r="B219" s="1">
        <v>45059</v>
      </c>
      <c r="C219" t="s">
        <v>32</v>
      </c>
      <c r="D219" t="s">
        <v>20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27</v>
      </c>
      <c r="K219">
        <v>0.24</v>
      </c>
      <c r="L219" t="s">
        <v>25</v>
      </c>
      <c r="M219" t="s">
        <v>19</v>
      </c>
      <c r="N219" t="str">
        <f t="shared" si="15"/>
        <v>West-Eve</v>
      </c>
      <c r="O219">
        <f t="shared" si="16"/>
        <v>141458.4</v>
      </c>
      <c r="P219">
        <f t="shared" si="17"/>
        <v>157832.80000000002</v>
      </c>
      <c r="Q219">
        <f t="shared" si="18"/>
        <v>16374.400000000023</v>
      </c>
      <c r="R219">
        <f t="shared" si="19"/>
        <v>10.37452291285463</v>
      </c>
    </row>
    <row r="220" spans="1:18" x14ac:dyDescent="0.35">
      <c r="A220">
        <v>1002</v>
      </c>
      <c r="B220" s="1">
        <v>45219</v>
      </c>
      <c r="C220" t="s">
        <v>22</v>
      </c>
      <c r="D220" t="s">
        <v>15</v>
      </c>
      <c r="E220">
        <v>5842.88</v>
      </c>
      <c r="F220">
        <v>30</v>
      </c>
      <c r="G220" t="s">
        <v>26</v>
      </c>
      <c r="H220">
        <v>4646.55</v>
      </c>
      <c r="I220">
        <v>4784.28</v>
      </c>
      <c r="J220" t="s">
        <v>17</v>
      </c>
      <c r="K220">
        <v>0.1</v>
      </c>
      <c r="L220" t="s">
        <v>28</v>
      </c>
      <c r="M220" t="s">
        <v>21</v>
      </c>
      <c r="N220" t="str">
        <f t="shared" si="15"/>
        <v>North-David</v>
      </c>
      <c r="O220">
        <f t="shared" si="16"/>
        <v>139396.5</v>
      </c>
      <c r="P220">
        <f t="shared" si="17"/>
        <v>143528.4</v>
      </c>
      <c r="Q220">
        <f t="shared" si="18"/>
        <v>4131.8999999999942</v>
      </c>
      <c r="R220">
        <f t="shared" si="19"/>
        <v>2.8788030800872817</v>
      </c>
    </row>
    <row r="221" spans="1:18" x14ac:dyDescent="0.35">
      <c r="A221">
        <v>1003</v>
      </c>
      <c r="B221" s="1">
        <v>45254</v>
      </c>
      <c r="C221" t="s">
        <v>32</v>
      </c>
      <c r="D221" t="s">
        <v>30</v>
      </c>
      <c r="E221">
        <v>5215.3100000000004</v>
      </c>
      <c r="F221">
        <v>11</v>
      </c>
      <c r="G221" t="s">
        <v>24</v>
      </c>
      <c r="H221">
        <v>3706.78</v>
      </c>
      <c r="I221">
        <v>3862.26</v>
      </c>
      <c r="J221" t="s">
        <v>27</v>
      </c>
      <c r="K221">
        <v>0.22</v>
      </c>
      <c r="L221" t="s">
        <v>28</v>
      </c>
      <c r="M221" t="s">
        <v>21</v>
      </c>
      <c r="N221" t="str">
        <f t="shared" si="15"/>
        <v>East-Eve</v>
      </c>
      <c r="O221">
        <f t="shared" si="16"/>
        <v>40774.58</v>
      </c>
      <c r="P221">
        <f t="shared" si="17"/>
        <v>42484.86</v>
      </c>
      <c r="Q221">
        <f t="shared" si="18"/>
        <v>1710.2799999999988</v>
      </c>
      <c r="R221">
        <f t="shared" si="19"/>
        <v>4.0256223040396009</v>
      </c>
    </row>
    <row r="222" spans="1:18" x14ac:dyDescent="0.35">
      <c r="A222">
        <v>1056</v>
      </c>
      <c r="B222" s="1">
        <v>45053</v>
      </c>
      <c r="C222" t="s">
        <v>22</v>
      </c>
      <c r="D222" t="s">
        <v>30</v>
      </c>
      <c r="E222">
        <v>7611.88</v>
      </c>
      <c r="F222">
        <v>28</v>
      </c>
      <c r="G222" t="s">
        <v>26</v>
      </c>
      <c r="H222">
        <v>1566.03</v>
      </c>
      <c r="I222">
        <v>1576.34</v>
      </c>
      <c r="J222" t="s">
        <v>17</v>
      </c>
      <c r="K222">
        <v>0.2</v>
      </c>
      <c r="L222" t="s">
        <v>25</v>
      </c>
      <c r="M222" t="s">
        <v>19</v>
      </c>
      <c r="N222" t="str">
        <f t="shared" si="15"/>
        <v>East-David</v>
      </c>
      <c r="O222">
        <f t="shared" si="16"/>
        <v>43848.84</v>
      </c>
      <c r="P222">
        <f t="shared" si="17"/>
        <v>44137.52</v>
      </c>
      <c r="Q222">
        <f t="shared" si="18"/>
        <v>288.68000000000029</v>
      </c>
      <c r="R222">
        <f t="shared" si="19"/>
        <v>0.6540467158100417</v>
      </c>
    </row>
    <row r="223" spans="1:18" x14ac:dyDescent="0.35">
      <c r="A223">
        <v>1081</v>
      </c>
      <c r="B223" s="1">
        <v>45032</v>
      </c>
      <c r="C223" t="s">
        <v>29</v>
      </c>
      <c r="D223" t="s">
        <v>20</v>
      </c>
      <c r="E223">
        <v>2896.71</v>
      </c>
      <c r="F223">
        <v>44</v>
      </c>
      <c r="G223" t="s">
        <v>31</v>
      </c>
      <c r="H223">
        <v>1362.15</v>
      </c>
      <c r="I223">
        <v>1844.07</v>
      </c>
      <c r="J223" t="s">
        <v>27</v>
      </c>
      <c r="K223">
        <v>0.28999999999999998</v>
      </c>
      <c r="L223" t="s">
        <v>28</v>
      </c>
      <c r="M223" t="s">
        <v>19</v>
      </c>
      <c r="N223" t="str">
        <f t="shared" si="15"/>
        <v>West-Charlie</v>
      </c>
      <c r="O223">
        <f t="shared" si="16"/>
        <v>59934.600000000006</v>
      </c>
      <c r="P223">
        <f t="shared" si="17"/>
        <v>81139.08</v>
      </c>
      <c r="Q223">
        <f t="shared" si="18"/>
        <v>21204.479999999996</v>
      </c>
      <c r="R223">
        <f t="shared" si="19"/>
        <v>26.133498186077531</v>
      </c>
    </row>
    <row r="224" spans="1:18" x14ac:dyDescent="0.35">
      <c r="A224">
        <v>1059</v>
      </c>
      <c r="B224" s="1">
        <v>45018</v>
      </c>
      <c r="C224" t="s">
        <v>32</v>
      </c>
      <c r="D224" t="s">
        <v>20</v>
      </c>
      <c r="E224">
        <v>3595.2</v>
      </c>
      <c r="F224">
        <v>12</v>
      </c>
      <c r="G224" t="s">
        <v>24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21</v>
      </c>
      <c r="N224" t="str">
        <f t="shared" si="15"/>
        <v>West-Eve</v>
      </c>
      <c r="O224">
        <f t="shared" si="16"/>
        <v>41953.8</v>
      </c>
      <c r="P224">
        <f t="shared" si="17"/>
        <v>47469</v>
      </c>
      <c r="Q224">
        <f t="shared" si="18"/>
        <v>5515.1999999999971</v>
      </c>
      <c r="R224">
        <f t="shared" si="19"/>
        <v>11.618529987992158</v>
      </c>
    </row>
    <row r="225" spans="1:18" x14ac:dyDescent="0.35">
      <c r="A225">
        <v>1002</v>
      </c>
      <c r="B225" s="1">
        <v>45213</v>
      </c>
      <c r="C225" t="s">
        <v>22</v>
      </c>
      <c r="D225" t="s">
        <v>23</v>
      </c>
      <c r="E225">
        <v>8951.5300000000007</v>
      </c>
      <c r="F225">
        <v>39</v>
      </c>
      <c r="G225" t="s">
        <v>26</v>
      </c>
      <c r="H225">
        <v>1004.71</v>
      </c>
      <c r="I225">
        <v>1389.35</v>
      </c>
      <c r="J225" t="s">
        <v>27</v>
      </c>
      <c r="K225">
        <v>0.24</v>
      </c>
      <c r="L225" t="s">
        <v>25</v>
      </c>
      <c r="M225" t="s">
        <v>19</v>
      </c>
      <c r="N225" t="str">
        <f t="shared" si="15"/>
        <v>South-David</v>
      </c>
      <c r="O225">
        <f t="shared" si="16"/>
        <v>39183.69</v>
      </c>
      <c r="P225">
        <f t="shared" si="17"/>
        <v>54184.649999999994</v>
      </c>
      <c r="Q225">
        <f t="shared" si="18"/>
        <v>15000.959999999992</v>
      </c>
      <c r="R225">
        <f t="shared" si="19"/>
        <v>27.684888616979151</v>
      </c>
    </row>
    <row r="226" spans="1:18" x14ac:dyDescent="0.35">
      <c r="A226">
        <v>1002</v>
      </c>
      <c r="B226" s="1">
        <v>44977</v>
      </c>
      <c r="C226" t="s">
        <v>29</v>
      </c>
      <c r="D226" t="s">
        <v>20</v>
      </c>
      <c r="E226">
        <v>9469.92</v>
      </c>
      <c r="F226">
        <v>26</v>
      </c>
      <c r="G226" t="s">
        <v>24</v>
      </c>
      <c r="H226">
        <v>508.94</v>
      </c>
      <c r="I226">
        <v>557.69000000000005</v>
      </c>
      <c r="J226" t="s">
        <v>27</v>
      </c>
      <c r="K226">
        <v>0.22</v>
      </c>
      <c r="L226" t="s">
        <v>28</v>
      </c>
      <c r="M226" t="s">
        <v>21</v>
      </c>
      <c r="N226" t="str">
        <f t="shared" si="15"/>
        <v>West-Charlie</v>
      </c>
      <c r="O226">
        <f t="shared" si="16"/>
        <v>13232.44</v>
      </c>
      <c r="P226">
        <f t="shared" si="17"/>
        <v>14499.940000000002</v>
      </c>
      <c r="Q226">
        <f t="shared" si="18"/>
        <v>1267.5000000000018</v>
      </c>
      <c r="R226">
        <f t="shared" si="19"/>
        <v>8.7414154817192458</v>
      </c>
    </row>
    <row r="227" spans="1:18" x14ac:dyDescent="0.35">
      <c r="A227">
        <v>1092</v>
      </c>
      <c r="B227" s="1">
        <v>44955</v>
      </c>
      <c r="C227" t="s">
        <v>14</v>
      </c>
      <c r="D227" t="s">
        <v>23</v>
      </c>
      <c r="E227">
        <v>8936.33</v>
      </c>
      <c r="F227">
        <v>13</v>
      </c>
      <c r="G227" t="s">
        <v>26</v>
      </c>
      <c r="H227">
        <v>2684.5</v>
      </c>
      <c r="I227">
        <v>2913.78</v>
      </c>
      <c r="J227" t="s">
        <v>27</v>
      </c>
      <c r="K227">
        <v>0.08</v>
      </c>
      <c r="L227" t="s">
        <v>28</v>
      </c>
      <c r="M227" t="s">
        <v>21</v>
      </c>
      <c r="N227" t="str">
        <f t="shared" si="15"/>
        <v>South-Bob</v>
      </c>
      <c r="O227">
        <f t="shared" si="16"/>
        <v>34898.5</v>
      </c>
      <c r="P227">
        <f t="shared" si="17"/>
        <v>37879.14</v>
      </c>
      <c r="Q227">
        <f t="shared" si="18"/>
        <v>2980.6399999999994</v>
      </c>
      <c r="R227">
        <f t="shared" si="19"/>
        <v>7.8688164514822665</v>
      </c>
    </row>
    <row r="228" spans="1:18" x14ac:dyDescent="0.35">
      <c r="A228">
        <v>1054</v>
      </c>
      <c r="B228" s="1">
        <v>45222</v>
      </c>
      <c r="C228" t="s">
        <v>22</v>
      </c>
      <c r="D228" t="s">
        <v>30</v>
      </c>
      <c r="E228">
        <v>4252.54</v>
      </c>
      <c r="F228">
        <v>8</v>
      </c>
      <c r="G228" t="s">
        <v>24</v>
      </c>
      <c r="H228">
        <v>4117.13</v>
      </c>
      <c r="I228">
        <v>4177.0600000000004</v>
      </c>
      <c r="J228" t="s">
        <v>17</v>
      </c>
      <c r="K228">
        <v>0.25</v>
      </c>
      <c r="L228" t="s">
        <v>25</v>
      </c>
      <c r="M228" t="s">
        <v>21</v>
      </c>
      <c r="N228" t="str">
        <f t="shared" si="15"/>
        <v>East-David</v>
      </c>
      <c r="O228">
        <f t="shared" si="16"/>
        <v>32937.040000000001</v>
      </c>
      <c r="P228">
        <f t="shared" si="17"/>
        <v>33416.480000000003</v>
      </c>
      <c r="Q228">
        <f t="shared" si="18"/>
        <v>479.44000000000233</v>
      </c>
      <c r="R228">
        <f t="shared" si="19"/>
        <v>1.4347411815966322</v>
      </c>
    </row>
    <row r="229" spans="1:18" x14ac:dyDescent="0.35">
      <c r="A229">
        <v>1087</v>
      </c>
      <c r="B229" s="1">
        <v>45223</v>
      </c>
      <c r="C229" t="s">
        <v>14</v>
      </c>
      <c r="D229" t="s">
        <v>30</v>
      </c>
      <c r="E229">
        <v>7825.62</v>
      </c>
      <c r="F229">
        <v>28</v>
      </c>
      <c r="G229" t="s">
        <v>26</v>
      </c>
      <c r="H229">
        <v>551.83000000000004</v>
      </c>
      <c r="I229">
        <v>569.63</v>
      </c>
      <c r="J229" t="s">
        <v>27</v>
      </c>
      <c r="K229">
        <v>0.13</v>
      </c>
      <c r="L229" t="s">
        <v>28</v>
      </c>
      <c r="M229" t="s">
        <v>21</v>
      </c>
      <c r="N229" t="str">
        <f t="shared" si="15"/>
        <v>East-Bob</v>
      </c>
      <c r="O229">
        <f t="shared" si="16"/>
        <v>15451.240000000002</v>
      </c>
      <c r="P229">
        <f t="shared" si="17"/>
        <v>15949.64</v>
      </c>
      <c r="Q229">
        <f t="shared" si="18"/>
        <v>498.39999999999782</v>
      </c>
      <c r="R229">
        <f t="shared" si="19"/>
        <v>3.1248354194828085</v>
      </c>
    </row>
    <row r="230" spans="1:18" x14ac:dyDescent="0.3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31</v>
      </c>
      <c r="H230">
        <v>3969.86</v>
      </c>
      <c r="I230">
        <v>4281.79</v>
      </c>
      <c r="J230" t="s">
        <v>17</v>
      </c>
      <c r="K230">
        <v>0.08</v>
      </c>
      <c r="L230" t="s">
        <v>25</v>
      </c>
      <c r="M230" t="s">
        <v>21</v>
      </c>
      <c r="N230" t="str">
        <f t="shared" si="15"/>
        <v>North-Bob</v>
      </c>
      <c r="O230">
        <f t="shared" si="16"/>
        <v>119095.8</v>
      </c>
      <c r="P230">
        <f t="shared" si="17"/>
        <v>128453.7</v>
      </c>
      <c r="Q230">
        <f t="shared" si="18"/>
        <v>9357.8999999999942</v>
      </c>
      <c r="R230">
        <f t="shared" si="19"/>
        <v>7.2850373325174704</v>
      </c>
    </row>
    <row r="231" spans="1:18" x14ac:dyDescent="0.35">
      <c r="A231">
        <v>1097</v>
      </c>
      <c r="B231" s="1">
        <v>45193</v>
      </c>
      <c r="C231" t="s">
        <v>33</v>
      </c>
      <c r="D231" t="s">
        <v>30</v>
      </c>
      <c r="E231">
        <v>5025.6400000000003</v>
      </c>
      <c r="F231">
        <v>9</v>
      </c>
      <c r="G231" t="s">
        <v>24</v>
      </c>
      <c r="H231">
        <v>4067.28</v>
      </c>
      <c r="I231">
        <v>4548.09</v>
      </c>
      <c r="J231" t="s">
        <v>17</v>
      </c>
      <c r="K231">
        <v>0.12</v>
      </c>
      <c r="L231" t="s">
        <v>28</v>
      </c>
      <c r="M231" t="s">
        <v>21</v>
      </c>
      <c r="N231" t="str">
        <f t="shared" si="15"/>
        <v>East-Alice</v>
      </c>
      <c r="O231">
        <f t="shared" si="16"/>
        <v>36605.520000000004</v>
      </c>
      <c r="P231">
        <f t="shared" si="17"/>
        <v>40932.81</v>
      </c>
      <c r="Q231">
        <f t="shared" si="18"/>
        <v>4327.2899999999936</v>
      </c>
      <c r="R231">
        <f t="shared" si="19"/>
        <v>10.57169053382847</v>
      </c>
    </row>
    <row r="232" spans="1:18" x14ac:dyDescent="0.35">
      <c r="A232">
        <v>1001</v>
      </c>
      <c r="B232" s="1">
        <v>45183</v>
      </c>
      <c r="C232" t="s">
        <v>32</v>
      </c>
      <c r="D232" t="s">
        <v>23</v>
      </c>
      <c r="E232">
        <v>2126.33</v>
      </c>
      <c r="F232">
        <v>39</v>
      </c>
      <c r="G232" t="s">
        <v>24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tr">
        <f t="shared" si="15"/>
        <v>South-Eve</v>
      </c>
      <c r="O232">
        <f t="shared" si="16"/>
        <v>95053.140000000014</v>
      </c>
      <c r="P232">
        <f t="shared" si="17"/>
        <v>112697.13</v>
      </c>
      <c r="Q232">
        <f t="shared" si="18"/>
        <v>17643.989999999991</v>
      </c>
      <c r="R232">
        <f t="shared" si="19"/>
        <v>15.656112981759154</v>
      </c>
    </row>
    <row r="233" spans="1:18" x14ac:dyDescent="0.35">
      <c r="A233">
        <v>1019</v>
      </c>
      <c r="B233" s="1">
        <v>45228</v>
      </c>
      <c r="C233" t="s">
        <v>22</v>
      </c>
      <c r="D233" t="s">
        <v>20</v>
      </c>
      <c r="E233">
        <v>5952.19</v>
      </c>
      <c r="F233">
        <v>31</v>
      </c>
      <c r="G233" t="s">
        <v>24</v>
      </c>
      <c r="H233">
        <v>333.69</v>
      </c>
      <c r="I233">
        <v>685.1</v>
      </c>
      <c r="J233" t="s">
        <v>27</v>
      </c>
      <c r="K233">
        <v>0.04</v>
      </c>
      <c r="L233" t="s">
        <v>25</v>
      </c>
      <c r="M233" t="s">
        <v>19</v>
      </c>
      <c r="N233" t="str">
        <f t="shared" si="15"/>
        <v>West-David</v>
      </c>
      <c r="O233">
        <f t="shared" si="16"/>
        <v>10344.39</v>
      </c>
      <c r="P233">
        <f t="shared" si="17"/>
        <v>21238.100000000002</v>
      </c>
      <c r="Q233">
        <f t="shared" si="18"/>
        <v>10893.710000000003</v>
      </c>
      <c r="R233">
        <f t="shared" si="19"/>
        <v>51.293241862501837</v>
      </c>
    </row>
    <row r="234" spans="1:18" x14ac:dyDescent="0.3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24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tr">
        <f t="shared" si="15"/>
        <v>North-Bob</v>
      </c>
      <c r="O234">
        <f t="shared" si="16"/>
        <v>19198.62</v>
      </c>
      <c r="P234">
        <f t="shared" si="17"/>
        <v>20402.97</v>
      </c>
      <c r="Q234">
        <f t="shared" si="18"/>
        <v>1204.3500000000022</v>
      </c>
      <c r="R234">
        <f t="shared" si="19"/>
        <v>5.9028170898648682</v>
      </c>
    </row>
    <row r="235" spans="1:18" x14ac:dyDescent="0.35">
      <c r="A235">
        <v>1053</v>
      </c>
      <c r="B235" s="1">
        <v>45272</v>
      </c>
      <c r="C235" t="s">
        <v>33</v>
      </c>
      <c r="D235" t="s">
        <v>23</v>
      </c>
      <c r="E235">
        <v>3382.49</v>
      </c>
      <c r="F235">
        <v>47</v>
      </c>
      <c r="G235" t="s">
        <v>31</v>
      </c>
      <c r="H235">
        <v>3551.76</v>
      </c>
      <c r="I235">
        <v>3696.1</v>
      </c>
      <c r="J235" t="s">
        <v>17</v>
      </c>
      <c r="K235">
        <v>0.15</v>
      </c>
      <c r="L235" t="s">
        <v>25</v>
      </c>
      <c r="M235" t="s">
        <v>21</v>
      </c>
      <c r="N235" t="str">
        <f t="shared" si="15"/>
        <v>South-Alice</v>
      </c>
      <c r="O235">
        <f t="shared" si="16"/>
        <v>166932.72</v>
      </c>
      <c r="P235">
        <f t="shared" si="17"/>
        <v>173716.69999999998</v>
      </c>
      <c r="Q235">
        <f t="shared" si="18"/>
        <v>6783.9799999999814</v>
      </c>
      <c r="R235">
        <f t="shared" si="19"/>
        <v>3.9051973702010119</v>
      </c>
    </row>
    <row r="236" spans="1:18" x14ac:dyDescent="0.35">
      <c r="A236">
        <v>1044</v>
      </c>
      <c r="B236" s="1">
        <v>45036</v>
      </c>
      <c r="C236" t="s">
        <v>29</v>
      </c>
      <c r="D236" t="s">
        <v>20</v>
      </c>
      <c r="E236">
        <v>8564.7999999999993</v>
      </c>
      <c r="F236">
        <v>34</v>
      </c>
      <c r="G236" t="s">
        <v>24</v>
      </c>
      <c r="H236">
        <v>3573.3</v>
      </c>
      <c r="I236">
        <v>3740.13</v>
      </c>
      <c r="J236" t="s">
        <v>17</v>
      </c>
      <c r="K236">
        <v>0.01</v>
      </c>
      <c r="L236" t="s">
        <v>28</v>
      </c>
      <c r="M236" t="s">
        <v>19</v>
      </c>
      <c r="N236" t="str">
        <f t="shared" si="15"/>
        <v>West-Charlie</v>
      </c>
      <c r="O236">
        <f t="shared" si="16"/>
        <v>121492.20000000001</v>
      </c>
      <c r="P236">
        <f t="shared" si="17"/>
        <v>127164.42</v>
      </c>
      <c r="Q236">
        <f t="shared" si="18"/>
        <v>5672.2199999999866</v>
      </c>
      <c r="R236">
        <f t="shared" si="19"/>
        <v>4.4605401416528201</v>
      </c>
    </row>
    <row r="237" spans="1:18" x14ac:dyDescent="0.35">
      <c r="A237">
        <v>1090</v>
      </c>
      <c r="B237" s="1">
        <v>45108</v>
      </c>
      <c r="C237" t="s">
        <v>22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27</v>
      </c>
      <c r="K237">
        <v>0.06</v>
      </c>
      <c r="L237" t="s">
        <v>18</v>
      </c>
      <c r="M237" t="s">
        <v>21</v>
      </c>
      <c r="N237" t="str">
        <f t="shared" si="15"/>
        <v>North-David</v>
      </c>
      <c r="O237">
        <f t="shared" si="16"/>
        <v>139402.66</v>
      </c>
      <c r="P237">
        <f t="shared" si="17"/>
        <v>151304.7999999997</v>
      </c>
      <c r="Q237">
        <f t="shared" si="18"/>
        <v>11902.139999999694</v>
      </c>
      <c r="R237">
        <f t="shared" si="19"/>
        <v>7.8663333879689992</v>
      </c>
    </row>
    <row r="238" spans="1:18" x14ac:dyDescent="0.35">
      <c r="A238">
        <v>1032</v>
      </c>
      <c r="B238" s="1">
        <v>45239</v>
      </c>
      <c r="C238" t="s">
        <v>14</v>
      </c>
      <c r="D238" t="s">
        <v>30</v>
      </c>
      <c r="E238">
        <v>804.47</v>
      </c>
      <c r="F238">
        <v>25</v>
      </c>
      <c r="G238" t="s">
        <v>31</v>
      </c>
      <c r="H238">
        <v>2934.3</v>
      </c>
      <c r="I238">
        <v>3337.4</v>
      </c>
      <c r="J238" t="s">
        <v>17</v>
      </c>
      <c r="K238">
        <v>0.25</v>
      </c>
      <c r="L238" t="s">
        <v>28</v>
      </c>
      <c r="M238" t="s">
        <v>21</v>
      </c>
      <c r="N238" t="str">
        <f t="shared" si="15"/>
        <v>East-Bob</v>
      </c>
      <c r="O238">
        <f t="shared" si="16"/>
        <v>73357.5</v>
      </c>
      <c r="P238">
        <f t="shared" si="17"/>
        <v>83435</v>
      </c>
      <c r="Q238">
        <f t="shared" si="18"/>
        <v>10077.5</v>
      </c>
      <c r="R238">
        <f t="shared" si="19"/>
        <v>12.078264517288908</v>
      </c>
    </row>
    <row r="239" spans="1:18" x14ac:dyDescent="0.35">
      <c r="A239">
        <v>1070</v>
      </c>
      <c r="B239" s="1">
        <v>44927</v>
      </c>
      <c r="C239" t="s">
        <v>32</v>
      </c>
      <c r="D239" t="s">
        <v>23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25</v>
      </c>
      <c r="M239" t="s">
        <v>21</v>
      </c>
      <c r="N239" t="str">
        <f t="shared" si="15"/>
        <v>South-Eve</v>
      </c>
      <c r="O239">
        <f t="shared" si="16"/>
        <v>7971.9600000000009</v>
      </c>
      <c r="P239">
        <f t="shared" si="17"/>
        <v>10356.36</v>
      </c>
      <c r="Q239">
        <f t="shared" si="18"/>
        <v>2384.3999999999996</v>
      </c>
      <c r="R239">
        <f t="shared" si="19"/>
        <v>23.023533365004688</v>
      </c>
    </row>
    <row r="240" spans="1:18" x14ac:dyDescent="0.35">
      <c r="A240">
        <v>1032</v>
      </c>
      <c r="B240" s="1">
        <v>45245</v>
      </c>
      <c r="C240" t="s">
        <v>33</v>
      </c>
      <c r="D240" t="s">
        <v>20</v>
      </c>
      <c r="E240">
        <v>9413.77</v>
      </c>
      <c r="F240">
        <v>1</v>
      </c>
      <c r="G240" t="s">
        <v>24</v>
      </c>
      <c r="H240">
        <v>651</v>
      </c>
      <c r="I240">
        <v>865.76</v>
      </c>
      <c r="J240" t="s">
        <v>17</v>
      </c>
      <c r="K240">
        <v>0.09</v>
      </c>
      <c r="L240" t="s">
        <v>25</v>
      </c>
      <c r="M240" t="s">
        <v>21</v>
      </c>
      <c r="N240" t="str">
        <f t="shared" si="15"/>
        <v>West-Alice</v>
      </c>
      <c r="O240">
        <f t="shared" si="16"/>
        <v>651</v>
      </c>
      <c r="P240">
        <f t="shared" si="17"/>
        <v>865.76</v>
      </c>
      <c r="Q240">
        <f t="shared" si="18"/>
        <v>214.76</v>
      </c>
      <c r="R240">
        <f t="shared" si="19"/>
        <v>24.805950840879689</v>
      </c>
    </row>
    <row r="241" spans="1:18" x14ac:dyDescent="0.3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26</v>
      </c>
      <c r="H241">
        <v>3619.61</v>
      </c>
      <c r="I241">
        <v>3651.42</v>
      </c>
      <c r="J241" t="s">
        <v>17</v>
      </c>
      <c r="K241">
        <v>0.26</v>
      </c>
      <c r="L241" t="s">
        <v>25</v>
      </c>
      <c r="M241" t="s">
        <v>19</v>
      </c>
      <c r="N241" t="str">
        <f t="shared" si="15"/>
        <v>North-Bob</v>
      </c>
      <c r="O241">
        <f t="shared" si="16"/>
        <v>79631.42</v>
      </c>
      <c r="P241">
        <f t="shared" si="17"/>
        <v>80331.240000000005</v>
      </c>
      <c r="Q241">
        <f t="shared" si="18"/>
        <v>699.82000000000698</v>
      </c>
      <c r="R241">
        <f t="shared" si="19"/>
        <v>0.87116792918920072</v>
      </c>
    </row>
    <row r="242" spans="1:18" x14ac:dyDescent="0.35">
      <c r="A242">
        <v>1055</v>
      </c>
      <c r="B242" s="1">
        <v>45075</v>
      </c>
      <c r="C242" t="s">
        <v>32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27</v>
      </c>
      <c r="K242">
        <v>0.23</v>
      </c>
      <c r="L242" t="s">
        <v>25</v>
      </c>
      <c r="M242" t="s">
        <v>19</v>
      </c>
      <c r="N242" t="str">
        <f t="shared" si="15"/>
        <v>North-Eve</v>
      </c>
      <c r="O242">
        <f t="shared" si="16"/>
        <v>38389.199999999997</v>
      </c>
      <c r="P242">
        <f t="shared" si="17"/>
        <v>44456.4</v>
      </c>
      <c r="Q242">
        <f t="shared" si="18"/>
        <v>6067.2000000000044</v>
      </c>
      <c r="R242">
        <f t="shared" si="19"/>
        <v>13.64752881474884</v>
      </c>
    </row>
    <row r="243" spans="1:18" x14ac:dyDescent="0.35">
      <c r="A243">
        <v>1075</v>
      </c>
      <c r="B243" s="1">
        <v>45235</v>
      </c>
      <c r="C243" t="s">
        <v>14</v>
      </c>
      <c r="D243" t="s">
        <v>30</v>
      </c>
      <c r="E243">
        <v>8127.7</v>
      </c>
      <c r="F243">
        <v>37</v>
      </c>
      <c r="G243" t="s">
        <v>24</v>
      </c>
      <c r="H243">
        <v>1675.51</v>
      </c>
      <c r="I243">
        <v>1906.6399999999901</v>
      </c>
      <c r="J243" t="s">
        <v>27</v>
      </c>
      <c r="K243">
        <v>0.13</v>
      </c>
      <c r="L243" t="s">
        <v>25</v>
      </c>
      <c r="M243" t="s">
        <v>19</v>
      </c>
      <c r="N243" t="str">
        <f t="shared" si="15"/>
        <v>East-Bob</v>
      </c>
      <c r="O243">
        <f t="shared" si="16"/>
        <v>61993.87</v>
      </c>
      <c r="P243">
        <f t="shared" si="17"/>
        <v>70545.679999999629</v>
      </c>
      <c r="Q243">
        <f t="shared" si="18"/>
        <v>8551.8099999996266</v>
      </c>
      <c r="R243">
        <f t="shared" si="19"/>
        <v>12.122372340871435</v>
      </c>
    </row>
    <row r="244" spans="1:18" x14ac:dyDescent="0.35">
      <c r="A244">
        <v>1056</v>
      </c>
      <c r="B244" s="1">
        <v>45063</v>
      </c>
      <c r="C244" t="s">
        <v>22</v>
      </c>
      <c r="D244" t="s">
        <v>20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21</v>
      </c>
      <c r="N244" t="str">
        <f t="shared" si="15"/>
        <v>West-David</v>
      </c>
      <c r="O244">
        <f t="shared" si="16"/>
        <v>115699.9</v>
      </c>
      <c r="P244">
        <f t="shared" si="17"/>
        <v>118863.94</v>
      </c>
      <c r="Q244">
        <f t="shared" si="18"/>
        <v>3164.0400000000081</v>
      </c>
      <c r="R244">
        <f t="shared" si="19"/>
        <v>2.6619006571715595</v>
      </c>
    </row>
    <row r="245" spans="1:18" x14ac:dyDescent="0.35">
      <c r="A245">
        <v>1017</v>
      </c>
      <c r="B245" s="1">
        <v>45128</v>
      </c>
      <c r="C245" t="s">
        <v>22</v>
      </c>
      <c r="D245" t="s">
        <v>30</v>
      </c>
      <c r="E245">
        <v>3388.69</v>
      </c>
      <c r="F245">
        <v>1</v>
      </c>
      <c r="G245" t="s">
        <v>24</v>
      </c>
      <c r="H245">
        <v>172.59</v>
      </c>
      <c r="I245">
        <v>404.69</v>
      </c>
      <c r="J245" t="s">
        <v>17</v>
      </c>
      <c r="K245">
        <v>0.28999999999999998</v>
      </c>
      <c r="L245" t="s">
        <v>25</v>
      </c>
      <c r="M245" t="s">
        <v>19</v>
      </c>
      <c r="N245" t="str">
        <f t="shared" si="15"/>
        <v>East-David</v>
      </c>
      <c r="O245">
        <f t="shared" si="16"/>
        <v>172.59</v>
      </c>
      <c r="P245">
        <f t="shared" si="17"/>
        <v>404.69</v>
      </c>
      <c r="Q245">
        <f t="shared" si="18"/>
        <v>232.1</v>
      </c>
      <c r="R245">
        <f t="shared" si="19"/>
        <v>57.352541451481379</v>
      </c>
    </row>
    <row r="246" spans="1:18" x14ac:dyDescent="0.35">
      <c r="A246">
        <v>1038</v>
      </c>
      <c r="B246" s="1">
        <v>45239</v>
      </c>
      <c r="C246" t="s">
        <v>22</v>
      </c>
      <c r="D246" t="s">
        <v>30</v>
      </c>
      <c r="E246">
        <v>6966.82</v>
      </c>
      <c r="F246">
        <v>1</v>
      </c>
      <c r="G246" t="s">
        <v>24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28</v>
      </c>
      <c r="M246" t="s">
        <v>19</v>
      </c>
      <c r="N246" t="str">
        <f t="shared" si="15"/>
        <v>East-David</v>
      </c>
      <c r="O246">
        <f t="shared" si="16"/>
        <v>1281.6500000000001</v>
      </c>
      <c r="P246">
        <f t="shared" si="17"/>
        <v>1709.71</v>
      </c>
      <c r="Q246">
        <f t="shared" si="18"/>
        <v>428.05999999999995</v>
      </c>
      <c r="R246">
        <f t="shared" si="19"/>
        <v>25.036994578027848</v>
      </c>
    </row>
    <row r="247" spans="1:18" x14ac:dyDescent="0.35">
      <c r="A247">
        <v>1024</v>
      </c>
      <c r="B247" s="1">
        <v>45043</v>
      </c>
      <c r="C247" t="s">
        <v>33</v>
      </c>
      <c r="D247" t="s">
        <v>20</v>
      </c>
      <c r="E247">
        <v>7734.12</v>
      </c>
      <c r="F247">
        <v>42</v>
      </c>
      <c r="G247" t="s">
        <v>24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tr">
        <f t="shared" si="15"/>
        <v>West-Alice</v>
      </c>
      <c r="O247">
        <f t="shared" si="16"/>
        <v>86900.1</v>
      </c>
      <c r="P247">
        <f t="shared" si="17"/>
        <v>99283.8</v>
      </c>
      <c r="Q247">
        <f t="shared" si="18"/>
        <v>12383.699999999997</v>
      </c>
      <c r="R247">
        <f t="shared" si="19"/>
        <v>12.473031854139343</v>
      </c>
    </row>
    <row r="248" spans="1:18" x14ac:dyDescent="0.35">
      <c r="A248">
        <v>1069</v>
      </c>
      <c r="B248" s="1">
        <v>45080</v>
      </c>
      <c r="C248" t="s">
        <v>22</v>
      </c>
      <c r="D248" t="s">
        <v>20</v>
      </c>
      <c r="E248">
        <v>6581.04</v>
      </c>
      <c r="F248">
        <v>42</v>
      </c>
      <c r="G248" t="s">
        <v>26</v>
      </c>
      <c r="H248">
        <v>1434.2</v>
      </c>
      <c r="I248">
        <v>1482.88</v>
      </c>
      <c r="J248" t="s">
        <v>27</v>
      </c>
      <c r="K248">
        <v>0.28000000000000003</v>
      </c>
      <c r="L248" t="s">
        <v>28</v>
      </c>
      <c r="M248" t="s">
        <v>21</v>
      </c>
      <c r="N248" t="str">
        <f t="shared" si="15"/>
        <v>West-David</v>
      </c>
      <c r="O248">
        <f t="shared" si="16"/>
        <v>60236.4</v>
      </c>
      <c r="P248">
        <f t="shared" si="17"/>
        <v>62280.960000000006</v>
      </c>
      <c r="Q248">
        <f t="shared" si="18"/>
        <v>2044.5600000000049</v>
      </c>
      <c r="R248">
        <f t="shared" si="19"/>
        <v>3.2828010358221915</v>
      </c>
    </row>
    <row r="249" spans="1:18" x14ac:dyDescent="0.35">
      <c r="A249">
        <v>1098</v>
      </c>
      <c r="B249" s="1">
        <v>45217</v>
      </c>
      <c r="C249" t="s">
        <v>32</v>
      </c>
      <c r="D249" t="s">
        <v>20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27</v>
      </c>
      <c r="K249">
        <v>0.18</v>
      </c>
      <c r="L249" t="s">
        <v>25</v>
      </c>
      <c r="M249" t="s">
        <v>19</v>
      </c>
      <c r="N249" t="str">
        <f t="shared" si="15"/>
        <v>West-Eve</v>
      </c>
      <c r="O249">
        <f t="shared" si="16"/>
        <v>15225.63</v>
      </c>
      <c r="P249">
        <f t="shared" si="17"/>
        <v>17407.949999999979</v>
      </c>
      <c r="Q249">
        <f t="shared" si="18"/>
        <v>2182.3199999999797</v>
      </c>
      <c r="R249">
        <f t="shared" si="19"/>
        <v>12.536341154472424</v>
      </c>
    </row>
    <row r="250" spans="1:18" x14ac:dyDescent="0.35">
      <c r="A250">
        <v>1070</v>
      </c>
      <c r="B250" s="1">
        <v>44989</v>
      </c>
      <c r="C250" t="s">
        <v>14</v>
      </c>
      <c r="D250" t="s">
        <v>23</v>
      </c>
      <c r="E250">
        <v>8771.24</v>
      </c>
      <c r="F250">
        <v>15</v>
      </c>
      <c r="G250" t="s">
        <v>31</v>
      </c>
      <c r="H250">
        <v>3653.66</v>
      </c>
      <c r="I250">
        <v>3896.19</v>
      </c>
      <c r="J250" t="s">
        <v>27</v>
      </c>
      <c r="K250">
        <v>0.03</v>
      </c>
      <c r="L250" t="s">
        <v>28</v>
      </c>
      <c r="M250" t="s">
        <v>21</v>
      </c>
      <c r="N250" t="str">
        <f t="shared" si="15"/>
        <v>South-Bob</v>
      </c>
      <c r="O250">
        <f t="shared" si="16"/>
        <v>54804.899999999994</v>
      </c>
      <c r="P250">
        <f t="shared" si="17"/>
        <v>58442.85</v>
      </c>
      <c r="Q250">
        <f t="shared" si="18"/>
        <v>3637.9500000000044</v>
      </c>
      <c r="R250">
        <f t="shared" si="19"/>
        <v>6.2247990986065957</v>
      </c>
    </row>
    <row r="251" spans="1:18" x14ac:dyDescent="0.35">
      <c r="A251">
        <v>1086</v>
      </c>
      <c r="B251" s="1">
        <v>45170</v>
      </c>
      <c r="C251" t="s">
        <v>29</v>
      </c>
      <c r="D251" t="s">
        <v>20</v>
      </c>
      <c r="E251">
        <v>5437.04</v>
      </c>
      <c r="F251">
        <v>17</v>
      </c>
      <c r="G251" t="s">
        <v>31</v>
      </c>
      <c r="H251">
        <v>4075.08</v>
      </c>
      <c r="I251">
        <v>4262.21</v>
      </c>
      <c r="J251" t="s">
        <v>27</v>
      </c>
      <c r="K251">
        <v>0.17</v>
      </c>
      <c r="L251" t="s">
        <v>18</v>
      </c>
      <c r="M251" t="s">
        <v>19</v>
      </c>
      <c r="N251" t="str">
        <f t="shared" si="15"/>
        <v>West-Charlie</v>
      </c>
      <c r="O251">
        <f t="shared" si="16"/>
        <v>69276.36</v>
      </c>
      <c r="P251">
        <f t="shared" si="17"/>
        <v>72457.570000000007</v>
      </c>
      <c r="Q251">
        <f t="shared" si="18"/>
        <v>3181.2100000000064</v>
      </c>
      <c r="R251">
        <f t="shared" si="19"/>
        <v>4.3904453323510655</v>
      </c>
    </row>
    <row r="252" spans="1:18" x14ac:dyDescent="0.35">
      <c r="A252">
        <v>1011</v>
      </c>
      <c r="B252" s="1">
        <v>44951</v>
      </c>
      <c r="C252" t="s">
        <v>32</v>
      </c>
      <c r="D252" t="s">
        <v>15</v>
      </c>
      <c r="E252">
        <v>2896.48</v>
      </c>
      <c r="F252">
        <v>22</v>
      </c>
      <c r="G252" t="s">
        <v>31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21</v>
      </c>
      <c r="N252" t="str">
        <f t="shared" si="15"/>
        <v>North-Eve</v>
      </c>
      <c r="O252">
        <f t="shared" si="16"/>
        <v>29139.439999999999</v>
      </c>
      <c r="P252">
        <f t="shared" si="17"/>
        <v>33226.6</v>
      </c>
      <c r="Q252">
        <f t="shared" si="18"/>
        <v>4087.16</v>
      </c>
      <c r="R252">
        <f t="shared" si="19"/>
        <v>12.30086737734225</v>
      </c>
    </row>
    <row r="253" spans="1:18" x14ac:dyDescent="0.35">
      <c r="A253">
        <v>1016</v>
      </c>
      <c r="B253" s="1">
        <v>45016</v>
      </c>
      <c r="C253" t="s">
        <v>32</v>
      </c>
      <c r="D253" t="s">
        <v>30</v>
      </c>
      <c r="E253">
        <v>4309.76</v>
      </c>
      <c r="F253">
        <v>38</v>
      </c>
      <c r="G253" t="s">
        <v>31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tr">
        <f t="shared" si="15"/>
        <v>East-Eve</v>
      </c>
      <c r="O253">
        <f t="shared" si="16"/>
        <v>147568.44</v>
      </c>
      <c r="P253">
        <f t="shared" si="17"/>
        <v>157803.36000000002</v>
      </c>
      <c r="Q253">
        <f t="shared" si="18"/>
        <v>10234.920000000013</v>
      </c>
      <c r="R253">
        <f t="shared" si="19"/>
        <v>6.485869502398435</v>
      </c>
    </row>
    <row r="254" spans="1:18" x14ac:dyDescent="0.35">
      <c r="A254">
        <v>1097</v>
      </c>
      <c r="B254" s="1">
        <v>45001</v>
      </c>
      <c r="C254" t="s">
        <v>22</v>
      </c>
      <c r="D254" t="s">
        <v>23</v>
      </c>
      <c r="E254">
        <v>471.95</v>
      </c>
      <c r="F254">
        <v>35</v>
      </c>
      <c r="G254" t="s">
        <v>24</v>
      </c>
      <c r="H254">
        <v>1958.49</v>
      </c>
      <c r="I254">
        <v>2254.84</v>
      </c>
      <c r="J254" t="s">
        <v>27</v>
      </c>
      <c r="K254">
        <v>0.16</v>
      </c>
      <c r="L254" t="s">
        <v>28</v>
      </c>
      <c r="M254" t="s">
        <v>19</v>
      </c>
      <c r="N254" t="str">
        <f t="shared" si="15"/>
        <v>South-David</v>
      </c>
      <c r="O254">
        <f t="shared" si="16"/>
        <v>68547.149999999994</v>
      </c>
      <c r="P254">
        <f t="shared" si="17"/>
        <v>78919.400000000009</v>
      </c>
      <c r="Q254">
        <f t="shared" si="18"/>
        <v>10372.250000000015</v>
      </c>
      <c r="R254">
        <f t="shared" si="19"/>
        <v>13.14283940323927</v>
      </c>
    </row>
    <row r="255" spans="1:18" x14ac:dyDescent="0.35">
      <c r="A255">
        <v>1073</v>
      </c>
      <c r="B255" s="1">
        <v>45220</v>
      </c>
      <c r="C255" t="s">
        <v>33</v>
      </c>
      <c r="D255" t="s">
        <v>20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27</v>
      </c>
      <c r="K255">
        <v>0.08</v>
      </c>
      <c r="L255" t="s">
        <v>18</v>
      </c>
      <c r="M255" t="s">
        <v>19</v>
      </c>
      <c r="N255" t="str">
        <f t="shared" si="15"/>
        <v>West-Alice</v>
      </c>
      <c r="O255">
        <f t="shared" si="16"/>
        <v>115114.05</v>
      </c>
      <c r="P255">
        <f t="shared" si="17"/>
        <v>133134.75</v>
      </c>
      <c r="Q255">
        <f t="shared" si="18"/>
        <v>18020.699999999997</v>
      </c>
      <c r="R255">
        <f t="shared" si="19"/>
        <v>13.535684710415573</v>
      </c>
    </row>
    <row r="256" spans="1:18" x14ac:dyDescent="0.35">
      <c r="A256">
        <v>1059</v>
      </c>
      <c r="B256" s="1">
        <v>45136</v>
      </c>
      <c r="C256" t="s">
        <v>14</v>
      </c>
      <c r="D256" t="s">
        <v>23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28</v>
      </c>
      <c r="M256" t="s">
        <v>21</v>
      </c>
      <c r="N256" t="str">
        <f t="shared" si="15"/>
        <v>South-Bob</v>
      </c>
      <c r="O256">
        <f t="shared" si="16"/>
        <v>68595.360000000001</v>
      </c>
      <c r="P256">
        <f t="shared" si="17"/>
        <v>71428.479999999996</v>
      </c>
      <c r="Q256">
        <f t="shared" si="18"/>
        <v>2833.1199999999953</v>
      </c>
      <c r="R256">
        <f t="shared" si="19"/>
        <v>3.9663730769575323</v>
      </c>
    </row>
    <row r="257" spans="1:18" x14ac:dyDescent="0.35">
      <c r="A257">
        <v>1070</v>
      </c>
      <c r="B257" s="1">
        <v>45273</v>
      </c>
      <c r="C257" t="s">
        <v>33</v>
      </c>
      <c r="D257" t="s">
        <v>20</v>
      </c>
      <c r="E257">
        <v>100.12</v>
      </c>
      <c r="F257">
        <v>8</v>
      </c>
      <c r="G257" t="s">
        <v>26</v>
      </c>
      <c r="H257">
        <v>3762.27</v>
      </c>
      <c r="I257">
        <v>4166.95</v>
      </c>
      <c r="J257" t="s">
        <v>17</v>
      </c>
      <c r="K257">
        <v>0.16</v>
      </c>
      <c r="L257" t="s">
        <v>25</v>
      </c>
      <c r="M257" t="s">
        <v>19</v>
      </c>
      <c r="N257" t="str">
        <f t="shared" si="15"/>
        <v>West-Alice</v>
      </c>
      <c r="O257">
        <f t="shared" si="16"/>
        <v>30098.16</v>
      </c>
      <c r="P257">
        <f t="shared" si="17"/>
        <v>33335.599999999999</v>
      </c>
      <c r="Q257">
        <f t="shared" si="18"/>
        <v>3237.4399999999987</v>
      </c>
      <c r="R257">
        <f t="shared" si="19"/>
        <v>9.7116596071467107</v>
      </c>
    </row>
    <row r="258" spans="1:18" x14ac:dyDescent="0.35">
      <c r="A258">
        <v>1080</v>
      </c>
      <c r="B258" s="1">
        <v>44943</v>
      </c>
      <c r="C258" t="s">
        <v>14</v>
      </c>
      <c r="D258" t="s">
        <v>23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25</v>
      </c>
      <c r="M258" t="s">
        <v>19</v>
      </c>
      <c r="N258" t="str">
        <f t="shared" si="15"/>
        <v>South-Bob</v>
      </c>
      <c r="O258">
        <f t="shared" si="16"/>
        <v>189660.51</v>
      </c>
      <c r="P258">
        <f t="shared" si="17"/>
        <v>197928.75</v>
      </c>
      <c r="Q258">
        <f t="shared" si="18"/>
        <v>8268.2399999999907</v>
      </c>
      <c r="R258">
        <f t="shared" si="19"/>
        <v>4.1773820124666026</v>
      </c>
    </row>
    <row r="259" spans="1:18" x14ac:dyDescent="0.35">
      <c r="A259">
        <v>1093</v>
      </c>
      <c r="B259" s="1">
        <v>45054</v>
      </c>
      <c r="C259" t="s">
        <v>14</v>
      </c>
      <c r="D259" t="s">
        <v>30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28</v>
      </c>
      <c r="M259" t="s">
        <v>21</v>
      </c>
      <c r="N259" t="str">
        <f t="shared" ref="N259:N322" si="20">D259 &amp; "-" &amp; C259</f>
        <v>East-Bob</v>
      </c>
      <c r="O259">
        <f t="shared" ref="O259:O322" si="21">F259*H259</f>
        <v>12365.46</v>
      </c>
      <c r="P259">
        <f t="shared" ref="P259:P322" si="22">F259*I259</f>
        <v>12997.18</v>
      </c>
      <c r="Q259">
        <f t="shared" ref="Q259:Q322" si="23">P259-O259</f>
        <v>631.72000000000116</v>
      </c>
      <c r="R259">
        <f t="shared" ref="R259:R322" si="24">(Q259/P259)*100</f>
        <v>4.8604389567583208</v>
      </c>
    </row>
    <row r="260" spans="1:18" x14ac:dyDescent="0.35">
      <c r="A260">
        <v>1003</v>
      </c>
      <c r="B260" s="1">
        <v>45290</v>
      </c>
      <c r="C260" t="s">
        <v>33</v>
      </c>
      <c r="D260" t="s">
        <v>30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21</v>
      </c>
      <c r="N260" t="str">
        <f t="shared" si="20"/>
        <v>East-Alice</v>
      </c>
      <c r="O260">
        <f t="shared" si="21"/>
        <v>6716.87</v>
      </c>
      <c r="P260">
        <f t="shared" si="22"/>
        <v>11503.22</v>
      </c>
      <c r="Q260">
        <f t="shared" si="23"/>
        <v>4786.3499999999995</v>
      </c>
      <c r="R260">
        <f t="shared" si="24"/>
        <v>41.608784322998254</v>
      </c>
    </row>
    <row r="261" spans="1:18" x14ac:dyDescent="0.35">
      <c r="A261">
        <v>1020</v>
      </c>
      <c r="B261" s="1">
        <v>45177</v>
      </c>
      <c r="C261" t="s">
        <v>32</v>
      </c>
      <c r="D261" t="s">
        <v>15</v>
      </c>
      <c r="E261">
        <v>9733.4699999999993</v>
      </c>
      <c r="F261">
        <v>26</v>
      </c>
      <c r="G261" t="s">
        <v>26</v>
      </c>
      <c r="H261">
        <v>4472.3500000000004</v>
      </c>
      <c r="I261">
        <v>4770.42</v>
      </c>
      <c r="J261" t="s">
        <v>27</v>
      </c>
      <c r="K261">
        <v>0.01</v>
      </c>
      <c r="L261" t="s">
        <v>28</v>
      </c>
      <c r="M261" t="s">
        <v>21</v>
      </c>
      <c r="N261" t="str">
        <f t="shared" si="20"/>
        <v>North-Eve</v>
      </c>
      <c r="O261">
        <f t="shared" si="21"/>
        <v>116281.1</v>
      </c>
      <c r="P261">
        <f t="shared" si="22"/>
        <v>124030.92</v>
      </c>
      <c r="Q261">
        <f t="shared" si="23"/>
        <v>7749.8199999999924</v>
      </c>
      <c r="R261">
        <f t="shared" si="24"/>
        <v>6.2482967956699769</v>
      </c>
    </row>
    <row r="262" spans="1:18" x14ac:dyDescent="0.3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31</v>
      </c>
      <c r="H262">
        <v>1969.78</v>
      </c>
      <c r="I262">
        <v>2437.6999999999998</v>
      </c>
      <c r="J262" t="s">
        <v>27</v>
      </c>
      <c r="K262">
        <v>0.19</v>
      </c>
      <c r="L262" t="s">
        <v>28</v>
      </c>
      <c r="M262" t="s">
        <v>21</v>
      </c>
      <c r="N262" t="str">
        <f t="shared" si="20"/>
        <v>North-Bob</v>
      </c>
      <c r="O262">
        <f t="shared" si="21"/>
        <v>25607.14</v>
      </c>
      <c r="P262">
        <f t="shared" si="22"/>
        <v>31690.1</v>
      </c>
      <c r="Q262">
        <f t="shared" si="23"/>
        <v>6082.9599999999991</v>
      </c>
      <c r="R262">
        <f t="shared" si="24"/>
        <v>19.195142962628704</v>
      </c>
    </row>
    <row r="263" spans="1:18" x14ac:dyDescent="0.35">
      <c r="A263">
        <v>1036</v>
      </c>
      <c r="B263" s="1">
        <v>45108</v>
      </c>
      <c r="C263" t="s">
        <v>33</v>
      </c>
      <c r="D263" t="s">
        <v>20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28</v>
      </c>
      <c r="M263" t="s">
        <v>19</v>
      </c>
      <c r="N263" t="str">
        <f t="shared" si="20"/>
        <v>West-Alice</v>
      </c>
      <c r="O263">
        <f t="shared" si="21"/>
        <v>25075</v>
      </c>
      <c r="P263">
        <f t="shared" si="22"/>
        <v>31293.09</v>
      </c>
      <c r="Q263">
        <f t="shared" si="23"/>
        <v>6218.09</v>
      </c>
      <c r="R263">
        <f t="shared" si="24"/>
        <v>19.870488980155045</v>
      </c>
    </row>
    <row r="264" spans="1:18" x14ac:dyDescent="0.35">
      <c r="A264">
        <v>1019</v>
      </c>
      <c r="B264" s="1">
        <v>45078</v>
      </c>
      <c r="C264" t="s">
        <v>14</v>
      </c>
      <c r="D264" t="s">
        <v>30</v>
      </c>
      <c r="E264">
        <v>3109.03</v>
      </c>
      <c r="F264">
        <v>38</v>
      </c>
      <c r="G264" t="s">
        <v>26</v>
      </c>
      <c r="H264">
        <v>3637.25</v>
      </c>
      <c r="I264">
        <v>4096.96</v>
      </c>
      <c r="J264" t="s">
        <v>17</v>
      </c>
      <c r="K264">
        <v>0.09</v>
      </c>
      <c r="L264" t="s">
        <v>25</v>
      </c>
      <c r="M264" t="s">
        <v>19</v>
      </c>
      <c r="N264" t="str">
        <f t="shared" si="20"/>
        <v>East-Bob</v>
      </c>
      <c r="O264">
        <f t="shared" si="21"/>
        <v>138215.5</v>
      </c>
      <c r="P264">
        <f t="shared" si="22"/>
        <v>155684.48000000001</v>
      </c>
      <c r="Q264">
        <f t="shared" si="23"/>
        <v>17468.98000000001</v>
      </c>
      <c r="R264">
        <f t="shared" si="24"/>
        <v>11.220758806529725</v>
      </c>
    </row>
    <row r="265" spans="1:18" x14ac:dyDescent="0.35">
      <c r="A265">
        <v>1090</v>
      </c>
      <c r="B265" s="1">
        <v>44951</v>
      </c>
      <c r="C265" t="s">
        <v>29</v>
      </c>
      <c r="D265" t="s">
        <v>23</v>
      </c>
      <c r="E265">
        <v>2381.12</v>
      </c>
      <c r="F265">
        <v>17</v>
      </c>
      <c r="G265" t="s">
        <v>26</v>
      </c>
      <c r="H265">
        <v>4190.26</v>
      </c>
      <c r="I265">
        <v>4645.3500000000004</v>
      </c>
      <c r="J265" t="s">
        <v>27</v>
      </c>
      <c r="K265">
        <v>0.12</v>
      </c>
      <c r="L265" t="s">
        <v>28</v>
      </c>
      <c r="M265" t="s">
        <v>21</v>
      </c>
      <c r="N265" t="str">
        <f t="shared" si="20"/>
        <v>South-Charlie</v>
      </c>
      <c r="O265">
        <f t="shared" si="21"/>
        <v>71234.42</v>
      </c>
      <c r="P265">
        <f t="shared" si="22"/>
        <v>78970.950000000012</v>
      </c>
      <c r="Q265">
        <f t="shared" si="23"/>
        <v>7736.5300000000134</v>
      </c>
      <c r="R265">
        <f t="shared" si="24"/>
        <v>9.7966783988289521</v>
      </c>
    </row>
    <row r="266" spans="1:18" x14ac:dyDescent="0.35">
      <c r="A266">
        <v>1067</v>
      </c>
      <c r="B266" s="1">
        <v>45106</v>
      </c>
      <c r="C266" t="s">
        <v>32</v>
      </c>
      <c r="D266" t="s">
        <v>23</v>
      </c>
      <c r="E266">
        <v>114.59</v>
      </c>
      <c r="F266">
        <v>48</v>
      </c>
      <c r="G266" t="s">
        <v>24</v>
      </c>
      <c r="H266">
        <v>4319.32</v>
      </c>
      <c r="I266">
        <v>4625.5599999999904</v>
      </c>
      <c r="J266" t="s">
        <v>17</v>
      </c>
      <c r="K266">
        <v>0.1</v>
      </c>
      <c r="L266" t="s">
        <v>25</v>
      </c>
      <c r="M266" t="s">
        <v>19</v>
      </c>
      <c r="N266" t="str">
        <f t="shared" si="20"/>
        <v>South-Eve</v>
      </c>
      <c r="O266">
        <f t="shared" si="21"/>
        <v>207327.35999999999</v>
      </c>
      <c r="P266">
        <f t="shared" si="22"/>
        <v>222026.87999999954</v>
      </c>
      <c r="Q266">
        <f t="shared" si="23"/>
        <v>14699.519999999553</v>
      </c>
      <c r="R266">
        <f t="shared" si="24"/>
        <v>6.6206037755426657</v>
      </c>
    </row>
    <row r="267" spans="1:18" x14ac:dyDescent="0.35">
      <c r="A267">
        <v>1019</v>
      </c>
      <c r="B267" s="1">
        <v>45124</v>
      </c>
      <c r="C267" t="s">
        <v>22</v>
      </c>
      <c r="D267" t="s">
        <v>23</v>
      </c>
      <c r="E267">
        <v>7320.51</v>
      </c>
      <c r="F267">
        <v>14</v>
      </c>
      <c r="G267" t="s">
        <v>26</v>
      </c>
      <c r="H267">
        <v>1614.19</v>
      </c>
      <c r="I267">
        <v>1882.79</v>
      </c>
      <c r="J267" t="s">
        <v>27</v>
      </c>
      <c r="K267">
        <v>0.25</v>
      </c>
      <c r="L267" t="s">
        <v>28</v>
      </c>
      <c r="M267" t="s">
        <v>21</v>
      </c>
      <c r="N267" t="str">
        <f t="shared" si="20"/>
        <v>South-David</v>
      </c>
      <c r="O267">
        <f t="shared" si="21"/>
        <v>22598.66</v>
      </c>
      <c r="P267">
        <f t="shared" si="22"/>
        <v>26359.059999999998</v>
      </c>
      <c r="Q267">
        <f t="shared" si="23"/>
        <v>3760.3999999999978</v>
      </c>
      <c r="R267">
        <f t="shared" si="24"/>
        <v>14.266062598590382</v>
      </c>
    </row>
    <row r="268" spans="1:18" x14ac:dyDescent="0.3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31</v>
      </c>
      <c r="H268">
        <v>4268.45</v>
      </c>
      <c r="I268">
        <v>4551.5999999999904</v>
      </c>
      <c r="J268" t="s">
        <v>27</v>
      </c>
      <c r="K268">
        <v>0.08</v>
      </c>
      <c r="L268" t="s">
        <v>25</v>
      </c>
      <c r="M268" t="s">
        <v>19</v>
      </c>
      <c r="N268" t="str">
        <f t="shared" si="20"/>
        <v>North-Bob</v>
      </c>
      <c r="O268">
        <f t="shared" si="21"/>
        <v>192080.25</v>
      </c>
      <c r="P268">
        <f t="shared" si="22"/>
        <v>204821.99999999956</v>
      </c>
      <c r="Q268">
        <f t="shared" si="23"/>
        <v>12741.749999999563</v>
      </c>
      <c r="R268">
        <f t="shared" si="24"/>
        <v>6.2208893575883408</v>
      </c>
    </row>
    <row r="269" spans="1:18" x14ac:dyDescent="0.35">
      <c r="A269">
        <v>1096</v>
      </c>
      <c r="B269" s="1">
        <v>45087</v>
      </c>
      <c r="C269" t="s">
        <v>29</v>
      </c>
      <c r="D269" t="s">
        <v>23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27</v>
      </c>
      <c r="K269">
        <v>0.22</v>
      </c>
      <c r="L269" t="s">
        <v>28</v>
      </c>
      <c r="M269" t="s">
        <v>21</v>
      </c>
      <c r="N269" t="str">
        <f t="shared" si="20"/>
        <v>South-Charlie</v>
      </c>
      <c r="O269">
        <f t="shared" si="21"/>
        <v>1515.72</v>
      </c>
      <c r="P269">
        <f t="shared" si="22"/>
        <v>4452</v>
      </c>
      <c r="Q269">
        <f t="shared" si="23"/>
        <v>2936.2799999999997</v>
      </c>
      <c r="R269">
        <f t="shared" si="24"/>
        <v>65.954177897574112</v>
      </c>
    </row>
    <row r="270" spans="1:18" x14ac:dyDescent="0.35">
      <c r="A270">
        <v>1071</v>
      </c>
      <c r="B270" s="1">
        <v>45103</v>
      </c>
      <c r="C270" t="s">
        <v>22</v>
      </c>
      <c r="D270" t="s">
        <v>15</v>
      </c>
      <c r="E270">
        <v>6664.17</v>
      </c>
      <c r="F270">
        <v>35</v>
      </c>
      <c r="G270" t="s">
        <v>26</v>
      </c>
      <c r="H270">
        <v>295.82</v>
      </c>
      <c r="I270">
        <v>684.67</v>
      </c>
      <c r="J270" t="s">
        <v>27</v>
      </c>
      <c r="K270">
        <v>0.03</v>
      </c>
      <c r="L270" t="s">
        <v>28</v>
      </c>
      <c r="M270" t="s">
        <v>19</v>
      </c>
      <c r="N270" t="str">
        <f t="shared" si="20"/>
        <v>North-David</v>
      </c>
      <c r="O270">
        <f t="shared" si="21"/>
        <v>10353.699999999999</v>
      </c>
      <c r="P270">
        <f t="shared" si="22"/>
        <v>23963.449999999997</v>
      </c>
      <c r="Q270">
        <f t="shared" si="23"/>
        <v>13609.749999999998</v>
      </c>
      <c r="R270">
        <f t="shared" si="24"/>
        <v>56.7937838666803</v>
      </c>
    </row>
    <row r="271" spans="1:18" x14ac:dyDescent="0.35">
      <c r="A271">
        <v>1052</v>
      </c>
      <c r="B271" s="1">
        <v>45211</v>
      </c>
      <c r="C271" t="s">
        <v>22</v>
      </c>
      <c r="D271" t="s">
        <v>15</v>
      </c>
      <c r="E271">
        <v>7444.77</v>
      </c>
      <c r="F271">
        <v>46</v>
      </c>
      <c r="G271" t="s">
        <v>31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21</v>
      </c>
      <c r="N271" t="str">
        <f t="shared" si="20"/>
        <v>North-David</v>
      </c>
      <c r="O271">
        <f t="shared" si="21"/>
        <v>144275.32</v>
      </c>
      <c r="P271">
        <f t="shared" si="22"/>
        <v>147130.53999999998</v>
      </c>
      <c r="Q271">
        <f t="shared" si="23"/>
        <v>2855.2199999999721</v>
      </c>
      <c r="R271">
        <f t="shared" si="24"/>
        <v>1.9406032221454312</v>
      </c>
    </row>
    <row r="272" spans="1:18" x14ac:dyDescent="0.35">
      <c r="A272">
        <v>1033</v>
      </c>
      <c r="B272" s="1">
        <v>44989</v>
      </c>
      <c r="C272" t="s">
        <v>14</v>
      </c>
      <c r="D272" t="s">
        <v>20</v>
      </c>
      <c r="E272">
        <v>8499.41</v>
      </c>
      <c r="F272">
        <v>14</v>
      </c>
      <c r="G272" t="s">
        <v>26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21</v>
      </c>
      <c r="N272" t="str">
        <f t="shared" si="20"/>
        <v>West-Bob</v>
      </c>
      <c r="O272">
        <f t="shared" si="21"/>
        <v>5073.32</v>
      </c>
      <c r="P272">
        <f t="shared" si="22"/>
        <v>10553.34</v>
      </c>
      <c r="Q272">
        <f t="shared" si="23"/>
        <v>5480.02</v>
      </c>
      <c r="R272">
        <f t="shared" si="24"/>
        <v>51.926878125787667</v>
      </c>
    </row>
    <row r="273" spans="1:18" x14ac:dyDescent="0.35">
      <c r="A273">
        <v>1040</v>
      </c>
      <c r="B273" s="1">
        <v>45076</v>
      </c>
      <c r="C273" t="s">
        <v>33</v>
      </c>
      <c r="D273" t="s">
        <v>23</v>
      </c>
      <c r="E273">
        <v>4284.03</v>
      </c>
      <c r="F273">
        <v>47</v>
      </c>
      <c r="G273" t="s">
        <v>26</v>
      </c>
      <c r="H273">
        <v>1656.82</v>
      </c>
      <c r="I273">
        <v>1750.3799999999901</v>
      </c>
      <c r="J273" t="s">
        <v>27</v>
      </c>
      <c r="K273">
        <v>0.21</v>
      </c>
      <c r="L273" t="s">
        <v>28</v>
      </c>
      <c r="M273" t="s">
        <v>19</v>
      </c>
      <c r="N273" t="str">
        <f t="shared" si="20"/>
        <v>South-Alice</v>
      </c>
      <c r="O273">
        <f t="shared" si="21"/>
        <v>77870.539999999994</v>
      </c>
      <c r="P273">
        <f t="shared" si="22"/>
        <v>82267.859999999535</v>
      </c>
      <c r="Q273">
        <f t="shared" si="23"/>
        <v>4397.3199999995413</v>
      </c>
      <c r="R273">
        <f t="shared" si="24"/>
        <v>5.3451250585581862</v>
      </c>
    </row>
    <row r="274" spans="1:18" x14ac:dyDescent="0.35">
      <c r="A274">
        <v>1039</v>
      </c>
      <c r="B274" s="1">
        <v>45080</v>
      </c>
      <c r="C274" t="s">
        <v>14</v>
      </c>
      <c r="D274" t="s">
        <v>23</v>
      </c>
      <c r="E274">
        <v>3099.02</v>
      </c>
      <c r="F274">
        <v>8</v>
      </c>
      <c r="G274" t="s">
        <v>26</v>
      </c>
      <c r="H274">
        <v>3380.14</v>
      </c>
      <c r="I274">
        <v>3609.3399999999901</v>
      </c>
      <c r="J274" t="s">
        <v>17</v>
      </c>
      <c r="K274">
        <v>0.09</v>
      </c>
      <c r="L274" t="s">
        <v>28</v>
      </c>
      <c r="M274" t="s">
        <v>19</v>
      </c>
      <c r="N274" t="str">
        <f t="shared" si="20"/>
        <v>South-Bob</v>
      </c>
      <c r="O274">
        <f t="shared" si="21"/>
        <v>27041.119999999999</v>
      </c>
      <c r="P274">
        <f t="shared" si="22"/>
        <v>28874.719999999921</v>
      </c>
      <c r="Q274">
        <f t="shared" si="23"/>
        <v>1833.5999999999221</v>
      </c>
      <c r="R274">
        <f t="shared" si="24"/>
        <v>6.350191447743657</v>
      </c>
    </row>
    <row r="275" spans="1:18" x14ac:dyDescent="0.35">
      <c r="A275">
        <v>1082</v>
      </c>
      <c r="B275" s="1">
        <v>45082</v>
      </c>
      <c r="C275" t="s">
        <v>29</v>
      </c>
      <c r="D275" t="s">
        <v>30</v>
      </c>
      <c r="E275">
        <v>3320.42</v>
      </c>
      <c r="F275">
        <v>15</v>
      </c>
      <c r="G275" t="s">
        <v>26</v>
      </c>
      <c r="H275">
        <v>1719.47</v>
      </c>
      <c r="I275">
        <v>1832.6</v>
      </c>
      <c r="J275" t="s">
        <v>17</v>
      </c>
      <c r="K275">
        <v>0.12</v>
      </c>
      <c r="L275" t="s">
        <v>28</v>
      </c>
      <c r="M275" t="s">
        <v>19</v>
      </c>
      <c r="N275" t="str">
        <f t="shared" si="20"/>
        <v>East-Charlie</v>
      </c>
      <c r="O275">
        <f t="shared" si="21"/>
        <v>25792.05</v>
      </c>
      <c r="P275">
        <f t="shared" si="22"/>
        <v>27489</v>
      </c>
      <c r="Q275">
        <f t="shared" si="23"/>
        <v>1696.9500000000007</v>
      </c>
      <c r="R275">
        <f t="shared" si="24"/>
        <v>6.1731965513478144</v>
      </c>
    </row>
    <row r="276" spans="1:18" x14ac:dyDescent="0.35">
      <c r="A276">
        <v>1001</v>
      </c>
      <c r="B276" s="1">
        <v>44975</v>
      </c>
      <c r="C276" t="s">
        <v>22</v>
      </c>
      <c r="D276" t="s">
        <v>20</v>
      </c>
      <c r="E276">
        <v>7154.95</v>
      </c>
      <c r="F276">
        <v>27</v>
      </c>
      <c r="G276" t="s">
        <v>26</v>
      </c>
      <c r="H276">
        <v>939.02</v>
      </c>
      <c r="I276">
        <v>1286.92</v>
      </c>
      <c r="J276" t="s">
        <v>17</v>
      </c>
      <c r="K276">
        <v>7.0000000000000007E-2</v>
      </c>
      <c r="L276" t="s">
        <v>28</v>
      </c>
      <c r="M276" t="s">
        <v>21</v>
      </c>
      <c r="N276" t="str">
        <f t="shared" si="20"/>
        <v>West-David</v>
      </c>
      <c r="O276">
        <f t="shared" si="21"/>
        <v>25353.54</v>
      </c>
      <c r="P276">
        <f t="shared" si="22"/>
        <v>34746.840000000004</v>
      </c>
      <c r="Q276">
        <f t="shared" si="23"/>
        <v>9393.3000000000029</v>
      </c>
      <c r="R276">
        <f t="shared" si="24"/>
        <v>27.033537438224602</v>
      </c>
    </row>
    <row r="277" spans="1:18" x14ac:dyDescent="0.35">
      <c r="A277">
        <v>1011</v>
      </c>
      <c r="B277" s="1">
        <v>45263</v>
      </c>
      <c r="C277" t="s">
        <v>14</v>
      </c>
      <c r="D277" t="s">
        <v>30</v>
      </c>
      <c r="E277">
        <v>8186.12</v>
      </c>
      <c r="F277">
        <v>13</v>
      </c>
      <c r="G277" t="s">
        <v>31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tr">
        <f t="shared" si="20"/>
        <v>East-Bob</v>
      </c>
      <c r="O277">
        <f t="shared" si="21"/>
        <v>18754.97</v>
      </c>
      <c r="P277">
        <f t="shared" si="22"/>
        <v>24473.41</v>
      </c>
      <c r="Q277">
        <f t="shared" si="23"/>
        <v>5718.4399999999987</v>
      </c>
      <c r="R277">
        <f t="shared" si="24"/>
        <v>23.365930616125823</v>
      </c>
    </row>
    <row r="278" spans="1:18" x14ac:dyDescent="0.35">
      <c r="A278">
        <v>1092</v>
      </c>
      <c r="B278" s="1">
        <v>45010</v>
      </c>
      <c r="C278" t="s">
        <v>33</v>
      </c>
      <c r="D278" t="s">
        <v>20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27</v>
      </c>
      <c r="K278">
        <v>0.15</v>
      </c>
      <c r="L278" t="s">
        <v>25</v>
      </c>
      <c r="M278" t="s">
        <v>21</v>
      </c>
      <c r="N278" t="str">
        <f t="shared" si="20"/>
        <v>West-Alice</v>
      </c>
      <c r="O278">
        <f t="shared" si="21"/>
        <v>113435</v>
      </c>
      <c r="P278">
        <f t="shared" si="22"/>
        <v>120896.72000000002</v>
      </c>
      <c r="Q278">
        <f t="shared" si="23"/>
        <v>7461.7200000000157</v>
      </c>
      <c r="R278">
        <f t="shared" si="24"/>
        <v>6.1719788593106699</v>
      </c>
    </row>
    <row r="279" spans="1:18" x14ac:dyDescent="0.35">
      <c r="A279">
        <v>1057</v>
      </c>
      <c r="B279" s="1">
        <v>45287</v>
      </c>
      <c r="C279" t="s">
        <v>14</v>
      </c>
      <c r="D279" t="s">
        <v>23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28</v>
      </c>
      <c r="M279" t="s">
        <v>19</v>
      </c>
      <c r="N279" t="str">
        <f t="shared" si="20"/>
        <v>South-Bob</v>
      </c>
      <c r="O279">
        <f t="shared" si="21"/>
        <v>74497.959999999992</v>
      </c>
      <c r="P279">
        <f t="shared" si="22"/>
        <v>76053.849999999991</v>
      </c>
      <c r="Q279">
        <f t="shared" si="23"/>
        <v>1555.8899999999994</v>
      </c>
      <c r="R279">
        <f t="shared" si="24"/>
        <v>2.0457741455560758</v>
      </c>
    </row>
    <row r="280" spans="1:18" x14ac:dyDescent="0.35">
      <c r="A280">
        <v>1089</v>
      </c>
      <c r="B280" s="1">
        <v>45103</v>
      </c>
      <c r="C280" t="s">
        <v>32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27</v>
      </c>
      <c r="K280">
        <v>0.22</v>
      </c>
      <c r="L280" t="s">
        <v>18</v>
      </c>
      <c r="M280" t="s">
        <v>19</v>
      </c>
      <c r="N280" t="str">
        <f t="shared" si="20"/>
        <v>North-Eve</v>
      </c>
      <c r="O280">
        <f t="shared" si="21"/>
        <v>137404.75</v>
      </c>
      <c r="P280">
        <f t="shared" si="22"/>
        <v>142873.84999999966</v>
      </c>
      <c r="Q280">
        <f t="shared" si="23"/>
        <v>5469.0999999996566</v>
      </c>
      <c r="R280">
        <f t="shared" si="24"/>
        <v>3.8279223244839207</v>
      </c>
    </row>
    <row r="281" spans="1:18" x14ac:dyDescent="0.35">
      <c r="A281">
        <v>1050</v>
      </c>
      <c r="B281" s="1">
        <v>45074</v>
      </c>
      <c r="C281" t="s">
        <v>33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27</v>
      </c>
      <c r="K281">
        <v>0.11</v>
      </c>
      <c r="L281" t="s">
        <v>28</v>
      </c>
      <c r="M281" t="s">
        <v>21</v>
      </c>
      <c r="N281" t="str">
        <f t="shared" si="20"/>
        <v>North-Alice</v>
      </c>
      <c r="O281">
        <f t="shared" si="21"/>
        <v>22579.56</v>
      </c>
      <c r="P281">
        <f t="shared" si="22"/>
        <v>24616.32</v>
      </c>
      <c r="Q281">
        <f t="shared" si="23"/>
        <v>2036.7599999999984</v>
      </c>
      <c r="R281">
        <f t="shared" si="24"/>
        <v>8.2740230871226821</v>
      </c>
    </row>
    <row r="282" spans="1:18" x14ac:dyDescent="0.35">
      <c r="A282">
        <v>1023</v>
      </c>
      <c r="B282" s="1">
        <v>45044</v>
      </c>
      <c r="C282" t="s">
        <v>29</v>
      </c>
      <c r="D282" t="s">
        <v>15</v>
      </c>
      <c r="E282">
        <v>9850.1</v>
      </c>
      <c r="F282">
        <v>5</v>
      </c>
      <c r="G282" t="s">
        <v>31</v>
      </c>
      <c r="H282">
        <v>2311.25</v>
      </c>
      <c r="I282">
        <v>2482.34</v>
      </c>
      <c r="J282" t="s">
        <v>17</v>
      </c>
      <c r="K282">
        <v>0.22</v>
      </c>
      <c r="L282" t="s">
        <v>28</v>
      </c>
      <c r="M282" t="s">
        <v>21</v>
      </c>
      <c r="N282" t="str">
        <f t="shared" si="20"/>
        <v>North-Charlie</v>
      </c>
      <c r="O282">
        <f t="shared" si="21"/>
        <v>11556.25</v>
      </c>
      <c r="P282">
        <f t="shared" si="22"/>
        <v>12411.7</v>
      </c>
      <c r="Q282">
        <f t="shared" si="23"/>
        <v>855.45000000000073</v>
      </c>
      <c r="R282">
        <f t="shared" si="24"/>
        <v>6.8922871161887622</v>
      </c>
    </row>
    <row r="283" spans="1:18" x14ac:dyDescent="0.35">
      <c r="A283">
        <v>1031</v>
      </c>
      <c r="B283" s="1">
        <v>45268</v>
      </c>
      <c r="C283" t="s">
        <v>22</v>
      </c>
      <c r="D283" t="s">
        <v>15</v>
      </c>
      <c r="E283">
        <v>7567.06</v>
      </c>
      <c r="F283">
        <v>22</v>
      </c>
      <c r="G283" t="s">
        <v>24</v>
      </c>
      <c r="H283">
        <v>4236.05</v>
      </c>
      <c r="I283">
        <v>4382.32</v>
      </c>
      <c r="J283" t="s">
        <v>27</v>
      </c>
      <c r="K283">
        <v>0.2</v>
      </c>
      <c r="L283" t="s">
        <v>25</v>
      </c>
      <c r="M283" t="s">
        <v>19</v>
      </c>
      <c r="N283" t="str">
        <f t="shared" si="20"/>
        <v>North-David</v>
      </c>
      <c r="O283">
        <f t="shared" si="21"/>
        <v>93193.1</v>
      </c>
      <c r="P283">
        <f t="shared" si="22"/>
        <v>96411.04</v>
      </c>
      <c r="Q283">
        <f t="shared" si="23"/>
        <v>3217.9399999999878</v>
      </c>
      <c r="R283">
        <f t="shared" si="24"/>
        <v>3.3377297869621443</v>
      </c>
    </row>
    <row r="284" spans="1:18" x14ac:dyDescent="0.3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24</v>
      </c>
      <c r="H284">
        <v>615.47</v>
      </c>
      <c r="I284">
        <v>715.84</v>
      </c>
      <c r="J284" t="s">
        <v>17</v>
      </c>
      <c r="K284">
        <v>0.21</v>
      </c>
      <c r="L284" t="s">
        <v>28</v>
      </c>
      <c r="M284" t="s">
        <v>21</v>
      </c>
      <c r="N284" t="str">
        <f t="shared" si="20"/>
        <v>North-Bob</v>
      </c>
      <c r="O284">
        <f t="shared" si="21"/>
        <v>30158.030000000002</v>
      </c>
      <c r="P284">
        <f t="shared" si="22"/>
        <v>35076.160000000003</v>
      </c>
      <c r="Q284">
        <f t="shared" si="23"/>
        <v>4918.130000000001</v>
      </c>
      <c r="R284">
        <f t="shared" si="24"/>
        <v>14.021289673670095</v>
      </c>
    </row>
    <row r="285" spans="1:18" x14ac:dyDescent="0.35">
      <c r="A285">
        <v>1042</v>
      </c>
      <c r="B285" s="1">
        <v>45115</v>
      </c>
      <c r="C285" t="s">
        <v>33</v>
      </c>
      <c r="D285" t="s">
        <v>30</v>
      </c>
      <c r="E285">
        <v>5947.31</v>
      </c>
      <c r="F285">
        <v>23</v>
      </c>
      <c r="G285" t="s">
        <v>31</v>
      </c>
      <c r="H285">
        <v>1314</v>
      </c>
      <c r="I285">
        <v>1567.78</v>
      </c>
      <c r="J285" t="s">
        <v>17</v>
      </c>
      <c r="K285">
        <v>0.15</v>
      </c>
      <c r="L285" t="s">
        <v>28</v>
      </c>
      <c r="M285" t="s">
        <v>21</v>
      </c>
      <c r="N285" t="str">
        <f t="shared" si="20"/>
        <v>East-Alice</v>
      </c>
      <c r="O285">
        <f t="shared" si="21"/>
        <v>30222</v>
      </c>
      <c r="P285">
        <f t="shared" si="22"/>
        <v>36058.94</v>
      </c>
      <c r="Q285">
        <f t="shared" si="23"/>
        <v>5836.9400000000023</v>
      </c>
      <c r="R285">
        <f t="shared" si="24"/>
        <v>16.18722014568371</v>
      </c>
    </row>
    <row r="286" spans="1:18" x14ac:dyDescent="0.35">
      <c r="A286">
        <v>1099</v>
      </c>
      <c r="B286" s="1">
        <v>45286</v>
      </c>
      <c r="C286" t="s">
        <v>32</v>
      </c>
      <c r="D286" t="s">
        <v>20</v>
      </c>
      <c r="E286">
        <v>6644.04</v>
      </c>
      <c r="F286">
        <v>25</v>
      </c>
      <c r="G286" t="s">
        <v>31</v>
      </c>
      <c r="H286">
        <v>4148.4799999999996</v>
      </c>
      <c r="I286">
        <v>4293.6899999999996</v>
      </c>
      <c r="J286" t="s">
        <v>27</v>
      </c>
      <c r="K286">
        <v>0.11</v>
      </c>
      <c r="L286" t="s">
        <v>25</v>
      </c>
      <c r="M286" t="s">
        <v>19</v>
      </c>
      <c r="N286" t="str">
        <f t="shared" si="20"/>
        <v>West-Eve</v>
      </c>
      <c r="O286">
        <f t="shared" si="21"/>
        <v>103711.99999999999</v>
      </c>
      <c r="P286">
        <f t="shared" si="22"/>
        <v>107342.24999999999</v>
      </c>
      <c r="Q286">
        <f t="shared" si="23"/>
        <v>3630.25</v>
      </c>
      <c r="R286">
        <f t="shared" si="24"/>
        <v>3.3819395438422433</v>
      </c>
    </row>
    <row r="287" spans="1:18" x14ac:dyDescent="0.35">
      <c r="A287">
        <v>1007</v>
      </c>
      <c r="B287" s="1">
        <v>44975</v>
      </c>
      <c r="C287" t="s">
        <v>33</v>
      </c>
      <c r="D287" t="s">
        <v>23</v>
      </c>
      <c r="E287">
        <v>876.71</v>
      </c>
      <c r="F287">
        <v>34</v>
      </c>
      <c r="G287" t="s">
        <v>26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25</v>
      </c>
      <c r="M287" t="s">
        <v>21</v>
      </c>
      <c r="N287" t="str">
        <f t="shared" si="20"/>
        <v>South-Alice</v>
      </c>
      <c r="O287">
        <f t="shared" si="21"/>
        <v>65316.38</v>
      </c>
      <c r="P287">
        <f t="shared" si="22"/>
        <v>77835.179999999993</v>
      </c>
      <c r="Q287">
        <f t="shared" si="23"/>
        <v>12518.799999999996</v>
      </c>
      <c r="R287">
        <f t="shared" si="24"/>
        <v>16.083729747910901</v>
      </c>
    </row>
    <row r="288" spans="1:18" x14ac:dyDescent="0.35">
      <c r="A288">
        <v>1016</v>
      </c>
      <c r="B288" s="1">
        <v>45253</v>
      </c>
      <c r="C288" t="s">
        <v>32</v>
      </c>
      <c r="D288" t="s">
        <v>30</v>
      </c>
      <c r="E288">
        <v>5490.52</v>
      </c>
      <c r="F288">
        <v>26</v>
      </c>
      <c r="G288" t="s">
        <v>26</v>
      </c>
      <c r="H288">
        <v>4906.8500000000004</v>
      </c>
      <c r="I288">
        <v>4954.3900000000003</v>
      </c>
      <c r="J288" t="s">
        <v>27</v>
      </c>
      <c r="K288">
        <v>0.25</v>
      </c>
      <c r="L288" t="s">
        <v>25</v>
      </c>
      <c r="M288" t="s">
        <v>19</v>
      </c>
      <c r="N288" t="str">
        <f t="shared" si="20"/>
        <v>East-Eve</v>
      </c>
      <c r="O288">
        <f t="shared" si="21"/>
        <v>127578.1</v>
      </c>
      <c r="P288">
        <f t="shared" si="22"/>
        <v>128814.14000000001</v>
      </c>
      <c r="Q288">
        <f t="shared" si="23"/>
        <v>1236.0400000000081</v>
      </c>
      <c r="R288">
        <f t="shared" si="24"/>
        <v>0.95955304285694731</v>
      </c>
    </row>
    <row r="289" spans="1:18" x14ac:dyDescent="0.35">
      <c r="A289">
        <v>1090</v>
      </c>
      <c r="B289" s="1">
        <v>45183</v>
      </c>
      <c r="C289" t="s">
        <v>29</v>
      </c>
      <c r="D289" t="s">
        <v>20</v>
      </c>
      <c r="E289">
        <v>7122.28</v>
      </c>
      <c r="F289">
        <v>47</v>
      </c>
      <c r="G289" t="s">
        <v>26</v>
      </c>
      <c r="H289">
        <v>2357.9499999999998</v>
      </c>
      <c r="I289">
        <v>2693.33</v>
      </c>
      <c r="J289" t="s">
        <v>27</v>
      </c>
      <c r="K289">
        <v>0.18</v>
      </c>
      <c r="L289" t="s">
        <v>25</v>
      </c>
      <c r="M289" t="s">
        <v>19</v>
      </c>
      <c r="N289" t="str">
        <f t="shared" si="20"/>
        <v>West-Charlie</v>
      </c>
      <c r="O289">
        <f t="shared" si="21"/>
        <v>110823.65</v>
      </c>
      <c r="P289">
        <f t="shared" si="22"/>
        <v>126586.51</v>
      </c>
      <c r="Q289">
        <f t="shared" si="23"/>
        <v>15762.86</v>
      </c>
      <c r="R289">
        <f t="shared" si="24"/>
        <v>12.452243133964275</v>
      </c>
    </row>
    <row r="290" spans="1:18" x14ac:dyDescent="0.35">
      <c r="A290">
        <v>1060</v>
      </c>
      <c r="B290" s="1">
        <v>45150</v>
      </c>
      <c r="C290" t="s">
        <v>22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21</v>
      </c>
      <c r="N290" t="str">
        <f t="shared" si="20"/>
        <v>North-David</v>
      </c>
      <c r="O290">
        <f t="shared" si="21"/>
        <v>19850.400000000001</v>
      </c>
      <c r="P290">
        <f t="shared" si="22"/>
        <v>20482.399999999998</v>
      </c>
      <c r="Q290">
        <f t="shared" si="23"/>
        <v>631.99999999999636</v>
      </c>
      <c r="R290">
        <f t="shared" si="24"/>
        <v>3.0855759090731381</v>
      </c>
    </row>
    <row r="291" spans="1:18" x14ac:dyDescent="0.35">
      <c r="A291">
        <v>1002</v>
      </c>
      <c r="B291" s="1">
        <v>45067</v>
      </c>
      <c r="C291" t="s">
        <v>29</v>
      </c>
      <c r="D291" t="s">
        <v>20</v>
      </c>
      <c r="E291">
        <v>7828.25</v>
      </c>
      <c r="F291">
        <v>26</v>
      </c>
      <c r="G291" t="s">
        <v>26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tr">
        <f t="shared" si="20"/>
        <v>West-Charlie</v>
      </c>
      <c r="O291">
        <f t="shared" si="21"/>
        <v>53076.92</v>
      </c>
      <c r="P291">
        <f t="shared" si="22"/>
        <v>59570.42</v>
      </c>
      <c r="Q291">
        <f t="shared" si="23"/>
        <v>6493.5</v>
      </c>
      <c r="R291">
        <f t="shared" si="24"/>
        <v>10.90054426341127</v>
      </c>
    </row>
    <row r="292" spans="1:18" x14ac:dyDescent="0.35">
      <c r="A292">
        <v>1001</v>
      </c>
      <c r="B292" s="1">
        <v>45141</v>
      </c>
      <c r="C292" t="s">
        <v>14</v>
      </c>
      <c r="D292" t="s">
        <v>20</v>
      </c>
      <c r="E292">
        <v>5879.35</v>
      </c>
      <c r="F292">
        <v>20</v>
      </c>
      <c r="G292" t="s">
        <v>24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21</v>
      </c>
      <c r="N292" t="str">
        <f t="shared" si="20"/>
        <v>West-Bob</v>
      </c>
      <c r="O292">
        <f t="shared" si="21"/>
        <v>43070.400000000001</v>
      </c>
      <c r="P292">
        <f t="shared" si="22"/>
        <v>46074</v>
      </c>
      <c r="Q292">
        <f t="shared" si="23"/>
        <v>3003.5999999999985</v>
      </c>
      <c r="R292">
        <f t="shared" si="24"/>
        <v>6.5190780049485575</v>
      </c>
    </row>
    <row r="293" spans="1:18" x14ac:dyDescent="0.35">
      <c r="A293">
        <v>1048</v>
      </c>
      <c r="B293" s="1">
        <v>45137</v>
      </c>
      <c r="C293" t="s">
        <v>33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27</v>
      </c>
      <c r="K293">
        <v>0.26</v>
      </c>
      <c r="L293" t="s">
        <v>28</v>
      </c>
      <c r="M293" t="s">
        <v>19</v>
      </c>
      <c r="N293" t="str">
        <f t="shared" si="20"/>
        <v>North-Alice</v>
      </c>
      <c r="O293">
        <f t="shared" si="21"/>
        <v>11671.619999999999</v>
      </c>
      <c r="P293">
        <f t="shared" si="22"/>
        <v>13856.579999999998</v>
      </c>
      <c r="Q293">
        <f t="shared" si="23"/>
        <v>2184.9599999999991</v>
      </c>
      <c r="R293">
        <f t="shared" si="24"/>
        <v>15.768393066687448</v>
      </c>
    </row>
    <row r="294" spans="1:18" x14ac:dyDescent="0.35">
      <c r="A294">
        <v>1012</v>
      </c>
      <c r="B294" s="1">
        <v>45244</v>
      </c>
      <c r="C294" t="s">
        <v>32</v>
      </c>
      <c r="D294" t="s">
        <v>15</v>
      </c>
      <c r="E294">
        <v>519.98</v>
      </c>
      <c r="F294">
        <v>6</v>
      </c>
      <c r="G294" t="s">
        <v>26</v>
      </c>
      <c r="H294">
        <v>3609.42</v>
      </c>
      <c r="I294">
        <v>4082.62</v>
      </c>
      <c r="J294" t="s">
        <v>17</v>
      </c>
      <c r="K294">
        <v>0.3</v>
      </c>
      <c r="L294" t="s">
        <v>25</v>
      </c>
      <c r="M294" t="s">
        <v>21</v>
      </c>
      <c r="N294" t="str">
        <f t="shared" si="20"/>
        <v>North-Eve</v>
      </c>
      <c r="O294">
        <f t="shared" si="21"/>
        <v>21656.52</v>
      </c>
      <c r="P294">
        <f t="shared" si="22"/>
        <v>24495.72</v>
      </c>
      <c r="Q294">
        <f t="shared" si="23"/>
        <v>2839.2000000000007</v>
      </c>
      <c r="R294">
        <f t="shared" si="24"/>
        <v>11.59059623477081</v>
      </c>
    </row>
    <row r="295" spans="1:18" x14ac:dyDescent="0.35">
      <c r="A295">
        <v>1069</v>
      </c>
      <c r="B295" s="1">
        <v>44958</v>
      </c>
      <c r="C295" t="s">
        <v>32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27</v>
      </c>
      <c r="K295">
        <v>0.27</v>
      </c>
      <c r="L295" t="s">
        <v>25</v>
      </c>
      <c r="M295" t="s">
        <v>21</v>
      </c>
      <c r="N295" t="str">
        <f t="shared" si="20"/>
        <v>North-Eve</v>
      </c>
      <c r="O295">
        <f t="shared" si="21"/>
        <v>49683.78</v>
      </c>
      <c r="P295">
        <f t="shared" si="22"/>
        <v>57952.44</v>
      </c>
      <c r="Q295">
        <f t="shared" si="23"/>
        <v>8268.6600000000035</v>
      </c>
      <c r="R295">
        <f t="shared" si="24"/>
        <v>14.268010113120349</v>
      </c>
    </row>
    <row r="296" spans="1:18" x14ac:dyDescent="0.35">
      <c r="A296">
        <v>1037</v>
      </c>
      <c r="B296" s="1">
        <v>45084</v>
      </c>
      <c r="C296" t="s">
        <v>33</v>
      </c>
      <c r="D296" t="s">
        <v>23</v>
      </c>
      <c r="E296">
        <v>6055.38</v>
      </c>
      <c r="F296">
        <v>4</v>
      </c>
      <c r="G296" t="s">
        <v>24</v>
      </c>
      <c r="H296">
        <v>4721.7</v>
      </c>
      <c r="I296">
        <v>5017.58</v>
      </c>
      <c r="J296" t="s">
        <v>27</v>
      </c>
      <c r="K296">
        <v>0.24</v>
      </c>
      <c r="L296" t="s">
        <v>18</v>
      </c>
      <c r="M296" t="s">
        <v>21</v>
      </c>
      <c r="N296" t="str">
        <f t="shared" si="20"/>
        <v>South-Alice</v>
      </c>
      <c r="O296">
        <f t="shared" si="21"/>
        <v>18886.8</v>
      </c>
      <c r="P296">
        <f t="shared" si="22"/>
        <v>20070.32</v>
      </c>
      <c r="Q296">
        <f t="shared" si="23"/>
        <v>1183.5200000000004</v>
      </c>
      <c r="R296">
        <f t="shared" si="24"/>
        <v>5.8968666169747195</v>
      </c>
    </row>
    <row r="297" spans="1:18" x14ac:dyDescent="0.35">
      <c r="A297">
        <v>1032</v>
      </c>
      <c r="B297" s="1">
        <v>45211</v>
      </c>
      <c r="C297" t="s">
        <v>33</v>
      </c>
      <c r="D297" t="s">
        <v>15</v>
      </c>
      <c r="E297">
        <v>3035.94</v>
      </c>
      <c r="F297">
        <v>17</v>
      </c>
      <c r="G297" t="s">
        <v>26</v>
      </c>
      <c r="H297">
        <v>1291.9100000000001</v>
      </c>
      <c r="I297">
        <v>1528.59</v>
      </c>
      <c r="J297" t="s">
        <v>17</v>
      </c>
      <c r="K297">
        <v>0.11</v>
      </c>
      <c r="L297" t="s">
        <v>28</v>
      </c>
      <c r="M297" t="s">
        <v>21</v>
      </c>
      <c r="N297" t="str">
        <f t="shared" si="20"/>
        <v>North-Alice</v>
      </c>
      <c r="O297">
        <f t="shared" si="21"/>
        <v>21962.47</v>
      </c>
      <c r="P297">
        <f t="shared" si="22"/>
        <v>25986.03</v>
      </c>
      <c r="Q297">
        <f t="shared" si="23"/>
        <v>4023.5599999999977</v>
      </c>
      <c r="R297">
        <f t="shared" si="24"/>
        <v>15.483550199857376</v>
      </c>
    </row>
    <row r="298" spans="1:18" x14ac:dyDescent="0.35">
      <c r="A298">
        <v>1009</v>
      </c>
      <c r="B298" s="1">
        <v>45231</v>
      </c>
      <c r="C298" t="s">
        <v>14</v>
      </c>
      <c r="D298" t="s">
        <v>23</v>
      </c>
      <c r="E298">
        <v>7172.8</v>
      </c>
      <c r="F298">
        <v>14</v>
      </c>
      <c r="G298" t="s">
        <v>24</v>
      </c>
      <c r="H298">
        <v>547.79</v>
      </c>
      <c r="I298">
        <v>958.76</v>
      </c>
      <c r="J298" t="s">
        <v>17</v>
      </c>
      <c r="K298">
        <v>7.0000000000000007E-2</v>
      </c>
      <c r="L298" t="s">
        <v>28</v>
      </c>
      <c r="M298" t="s">
        <v>21</v>
      </c>
      <c r="N298" t="str">
        <f t="shared" si="20"/>
        <v>South-Bob</v>
      </c>
      <c r="O298">
        <f t="shared" si="21"/>
        <v>7669.0599999999995</v>
      </c>
      <c r="P298">
        <f t="shared" si="22"/>
        <v>13422.64</v>
      </c>
      <c r="Q298">
        <f t="shared" si="23"/>
        <v>5753.58</v>
      </c>
      <c r="R298">
        <f t="shared" si="24"/>
        <v>42.864741958362885</v>
      </c>
    </row>
    <row r="299" spans="1:18" x14ac:dyDescent="0.35">
      <c r="A299">
        <v>1099</v>
      </c>
      <c r="B299" s="1">
        <v>45212</v>
      </c>
      <c r="C299" t="s">
        <v>29</v>
      </c>
      <c r="D299" t="s">
        <v>15</v>
      </c>
      <c r="E299">
        <v>7614.15</v>
      </c>
      <c r="F299">
        <v>14</v>
      </c>
      <c r="G299" t="s">
        <v>24</v>
      </c>
      <c r="H299">
        <v>1996.64</v>
      </c>
      <c r="I299">
        <v>2341.4699999999998</v>
      </c>
      <c r="J299" t="s">
        <v>17</v>
      </c>
      <c r="K299">
        <v>0.22</v>
      </c>
      <c r="L299" t="s">
        <v>28</v>
      </c>
      <c r="M299" t="s">
        <v>19</v>
      </c>
      <c r="N299" t="str">
        <f t="shared" si="20"/>
        <v>North-Charlie</v>
      </c>
      <c r="O299">
        <f t="shared" si="21"/>
        <v>27952.960000000003</v>
      </c>
      <c r="P299">
        <f t="shared" si="22"/>
        <v>32780.579999999994</v>
      </c>
      <c r="Q299">
        <f t="shared" si="23"/>
        <v>4827.6199999999917</v>
      </c>
      <c r="R299">
        <f t="shared" si="24"/>
        <v>14.727073163440037</v>
      </c>
    </row>
    <row r="300" spans="1:18" x14ac:dyDescent="0.35">
      <c r="A300">
        <v>1019</v>
      </c>
      <c r="B300" s="1">
        <v>45070</v>
      </c>
      <c r="C300" t="s">
        <v>32</v>
      </c>
      <c r="D300" t="s">
        <v>23</v>
      </c>
      <c r="E300">
        <v>1114.9100000000001</v>
      </c>
      <c r="F300">
        <v>13</v>
      </c>
      <c r="G300" t="s">
        <v>24</v>
      </c>
      <c r="H300">
        <v>3102.73</v>
      </c>
      <c r="I300">
        <v>3202.68</v>
      </c>
      <c r="J300" t="s">
        <v>27</v>
      </c>
      <c r="K300">
        <v>0.09</v>
      </c>
      <c r="L300" t="s">
        <v>18</v>
      </c>
      <c r="M300" t="s">
        <v>19</v>
      </c>
      <c r="N300" t="str">
        <f t="shared" si="20"/>
        <v>South-Eve</v>
      </c>
      <c r="O300">
        <f t="shared" si="21"/>
        <v>40335.49</v>
      </c>
      <c r="P300">
        <f t="shared" si="22"/>
        <v>41634.839999999997</v>
      </c>
      <c r="Q300">
        <f t="shared" si="23"/>
        <v>1299.3499999999985</v>
      </c>
      <c r="R300">
        <f t="shared" si="24"/>
        <v>3.1208238100590724</v>
      </c>
    </row>
    <row r="301" spans="1:18" x14ac:dyDescent="0.35">
      <c r="A301">
        <v>1048</v>
      </c>
      <c r="B301" s="1">
        <v>44945</v>
      </c>
      <c r="C301" t="s">
        <v>14</v>
      </c>
      <c r="D301" t="s">
        <v>20</v>
      </c>
      <c r="E301">
        <v>5187.16</v>
      </c>
      <c r="F301">
        <v>7</v>
      </c>
      <c r="G301" t="s">
        <v>26</v>
      </c>
      <c r="H301">
        <v>4310.95</v>
      </c>
      <c r="I301">
        <v>4723.2</v>
      </c>
      <c r="J301" t="s">
        <v>17</v>
      </c>
      <c r="K301">
        <v>0.05</v>
      </c>
      <c r="L301" t="s">
        <v>28</v>
      </c>
      <c r="M301" t="s">
        <v>21</v>
      </c>
      <c r="N301" t="str">
        <f t="shared" si="20"/>
        <v>West-Bob</v>
      </c>
      <c r="O301">
        <f t="shared" si="21"/>
        <v>30176.649999999998</v>
      </c>
      <c r="P301">
        <f t="shared" si="22"/>
        <v>33062.400000000001</v>
      </c>
      <c r="Q301">
        <f t="shared" si="23"/>
        <v>2885.7500000000036</v>
      </c>
      <c r="R301">
        <f t="shared" si="24"/>
        <v>8.7281927506775165</v>
      </c>
    </row>
    <row r="302" spans="1:18" x14ac:dyDescent="0.35">
      <c r="A302">
        <v>1080</v>
      </c>
      <c r="B302" s="1">
        <v>44944</v>
      </c>
      <c r="C302" t="s">
        <v>29</v>
      </c>
      <c r="D302" t="s">
        <v>30</v>
      </c>
      <c r="E302">
        <v>5138.0200000000004</v>
      </c>
      <c r="F302">
        <v>44</v>
      </c>
      <c r="G302" t="s">
        <v>31</v>
      </c>
      <c r="H302">
        <v>1763.67</v>
      </c>
      <c r="I302">
        <v>1983.82</v>
      </c>
      <c r="J302" t="s">
        <v>27</v>
      </c>
      <c r="K302">
        <v>0.24</v>
      </c>
      <c r="L302" t="s">
        <v>28</v>
      </c>
      <c r="M302" t="s">
        <v>19</v>
      </c>
      <c r="N302" t="str">
        <f t="shared" si="20"/>
        <v>East-Charlie</v>
      </c>
      <c r="O302">
        <f t="shared" si="21"/>
        <v>77601.48000000001</v>
      </c>
      <c r="P302">
        <f t="shared" si="22"/>
        <v>87288.08</v>
      </c>
      <c r="Q302">
        <f t="shared" si="23"/>
        <v>9686.5999999999913</v>
      </c>
      <c r="R302">
        <f t="shared" si="24"/>
        <v>11.097276970692896</v>
      </c>
    </row>
    <row r="303" spans="1:18" x14ac:dyDescent="0.35">
      <c r="A303">
        <v>1003</v>
      </c>
      <c r="B303" s="1">
        <v>45183</v>
      </c>
      <c r="C303" t="s">
        <v>14</v>
      </c>
      <c r="D303" t="s">
        <v>20</v>
      </c>
      <c r="E303">
        <v>3755.88</v>
      </c>
      <c r="F303">
        <v>15</v>
      </c>
      <c r="G303" t="s">
        <v>26</v>
      </c>
      <c r="H303">
        <v>3286.24</v>
      </c>
      <c r="I303">
        <v>3388.8399999999901</v>
      </c>
      <c r="J303" t="s">
        <v>17</v>
      </c>
      <c r="K303">
        <v>0.09</v>
      </c>
      <c r="L303" t="s">
        <v>28</v>
      </c>
      <c r="M303" t="s">
        <v>21</v>
      </c>
      <c r="N303" t="str">
        <f t="shared" si="20"/>
        <v>West-Bob</v>
      </c>
      <c r="O303">
        <f t="shared" si="21"/>
        <v>49293.599999999999</v>
      </c>
      <c r="P303">
        <f t="shared" si="22"/>
        <v>50832.599999999853</v>
      </c>
      <c r="Q303">
        <f t="shared" si="23"/>
        <v>1538.9999999998545</v>
      </c>
      <c r="R303">
        <f t="shared" si="24"/>
        <v>3.0275846602374439</v>
      </c>
    </row>
    <row r="304" spans="1:18" x14ac:dyDescent="0.35">
      <c r="A304">
        <v>1020</v>
      </c>
      <c r="B304" s="1">
        <v>45004</v>
      </c>
      <c r="C304" t="s">
        <v>32</v>
      </c>
      <c r="D304" t="s">
        <v>20</v>
      </c>
      <c r="E304">
        <v>9335.9599999999991</v>
      </c>
      <c r="F304">
        <v>19</v>
      </c>
      <c r="G304" t="s">
        <v>24</v>
      </c>
      <c r="H304">
        <v>1783.48</v>
      </c>
      <c r="I304">
        <v>1931.56</v>
      </c>
      <c r="J304" t="s">
        <v>17</v>
      </c>
      <c r="K304">
        <v>0.27</v>
      </c>
      <c r="L304" t="s">
        <v>25</v>
      </c>
      <c r="M304" t="s">
        <v>21</v>
      </c>
      <c r="N304" t="str">
        <f t="shared" si="20"/>
        <v>West-Eve</v>
      </c>
      <c r="O304">
        <f t="shared" si="21"/>
        <v>33886.120000000003</v>
      </c>
      <c r="P304">
        <f t="shared" si="22"/>
        <v>36699.64</v>
      </c>
      <c r="Q304">
        <f t="shared" si="23"/>
        <v>2813.5199999999968</v>
      </c>
      <c r="R304">
        <f t="shared" si="24"/>
        <v>7.666342231149943</v>
      </c>
    </row>
    <row r="305" spans="1:18" x14ac:dyDescent="0.35">
      <c r="A305">
        <v>1024</v>
      </c>
      <c r="B305" s="1">
        <v>45101</v>
      </c>
      <c r="C305" t="s">
        <v>33</v>
      </c>
      <c r="D305" t="s">
        <v>15</v>
      </c>
      <c r="E305">
        <v>8292.31</v>
      </c>
      <c r="F305">
        <v>43</v>
      </c>
      <c r="G305" t="s">
        <v>26</v>
      </c>
      <c r="H305">
        <v>3105.24</v>
      </c>
      <c r="I305">
        <v>3246.33</v>
      </c>
      <c r="J305" t="s">
        <v>27</v>
      </c>
      <c r="K305">
        <v>0.25</v>
      </c>
      <c r="L305" t="s">
        <v>18</v>
      </c>
      <c r="M305" t="s">
        <v>19</v>
      </c>
      <c r="N305" t="str">
        <f t="shared" si="20"/>
        <v>North-Alice</v>
      </c>
      <c r="O305">
        <f t="shared" si="21"/>
        <v>133525.31999999998</v>
      </c>
      <c r="P305">
        <f t="shared" si="22"/>
        <v>139592.19</v>
      </c>
      <c r="Q305">
        <f t="shared" si="23"/>
        <v>6066.8700000000244</v>
      </c>
      <c r="R305">
        <f t="shared" si="24"/>
        <v>4.3461385626230413</v>
      </c>
    </row>
    <row r="306" spans="1:18" x14ac:dyDescent="0.35">
      <c r="A306">
        <v>1054</v>
      </c>
      <c r="B306" s="1">
        <v>45120</v>
      </c>
      <c r="C306" t="s">
        <v>33</v>
      </c>
      <c r="D306" t="s">
        <v>23</v>
      </c>
      <c r="E306">
        <v>7002.37</v>
      </c>
      <c r="F306">
        <v>47</v>
      </c>
      <c r="G306" t="s">
        <v>24</v>
      </c>
      <c r="H306">
        <v>4429.8</v>
      </c>
      <c r="I306">
        <v>4694.21</v>
      </c>
      <c r="J306" t="s">
        <v>27</v>
      </c>
      <c r="K306">
        <v>0.25</v>
      </c>
      <c r="L306" t="s">
        <v>25</v>
      </c>
      <c r="M306" t="s">
        <v>19</v>
      </c>
      <c r="N306" t="str">
        <f t="shared" si="20"/>
        <v>South-Alice</v>
      </c>
      <c r="O306">
        <f t="shared" si="21"/>
        <v>208200.6</v>
      </c>
      <c r="P306">
        <f t="shared" si="22"/>
        <v>220627.87</v>
      </c>
      <c r="Q306">
        <f t="shared" si="23"/>
        <v>12427.26999999999</v>
      </c>
      <c r="R306">
        <f t="shared" si="24"/>
        <v>5.6326836677523966</v>
      </c>
    </row>
    <row r="307" spans="1:18" x14ac:dyDescent="0.35">
      <c r="A307">
        <v>1033</v>
      </c>
      <c r="B307" s="1">
        <v>45039</v>
      </c>
      <c r="C307" t="s">
        <v>29</v>
      </c>
      <c r="D307" t="s">
        <v>30</v>
      </c>
      <c r="E307">
        <v>7171.83</v>
      </c>
      <c r="F307">
        <v>44</v>
      </c>
      <c r="G307" t="s">
        <v>31</v>
      </c>
      <c r="H307">
        <v>1195.22</v>
      </c>
      <c r="I307">
        <v>1320.06</v>
      </c>
      <c r="J307" t="s">
        <v>17</v>
      </c>
      <c r="K307">
        <v>0.23</v>
      </c>
      <c r="L307" t="s">
        <v>25</v>
      </c>
      <c r="M307" t="s">
        <v>21</v>
      </c>
      <c r="N307" t="str">
        <f t="shared" si="20"/>
        <v>East-Charlie</v>
      </c>
      <c r="O307">
        <f t="shared" si="21"/>
        <v>52589.68</v>
      </c>
      <c r="P307">
        <f t="shared" si="22"/>
        <v>58082.64</v>
      </c>
      <c r="Q307">
        <f t="shared" si="23"/>
        <v>5492.9599999999991</v>
      </c>
      <c r="R307">
        <f t="shared" si="24"/>
        <v>9.4571458873081511</v>
      </c>
    </row>
    <row r="308" spans="1:18" x14ac:dyDescent="0.35">
      <c r="A308">
        <v>1024</v>
      </c>
      <c r="B308" s="1">
        <v>45040</v>
      </c>
      <c r="C308" t="s">
        <v>22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21</v>
      </c>
      <c r="N308" t="str">
        <f t="shared" si="20"/>
        <v>North-David</v>
      </c>
      <c r="O308">
        <f t="shared" si="21"/>
        <v>71785</v>
      </c>
      <c r="P308">
        <f t="shared" si="22"/>
        <v>74254.25</v>
      </c>
      <c r="Q308">
        <f t="shared" si="23"/>
        <v>2469.25</v>
      </c>
      <c r="R308">
        <f t="shared" si="24"/>
        <v>3.325398882892225</v>
      </c>
    </row>
    <row r="309" spans="1:18" x14ac:dyDescent="0.35">
      <c r="A309">
        <v>1075</v>
      </c>
      <c r="B309" s="1">
        <v>45148</v>
      </c>
      <c r="C309" t="s">
        <v>29</v>
      </c>
      <c r="D309" t="s">
        <v>15</v>
      </c>
      <c r="E309">
        <v>9217.85</v>
      </c>
      <c r="F309">
        <v>17</v>
      </c>
      <c r="G309" t="s">
        <v>31</v>
      </c>
      <c r="H309">
        <v>4966.66</v>
      </c>
      <c r="I309">
        <v>5037.2699999999904</v>
      </c>
      <c r="J309" t="s">
        <v>17</v>
      </c>
      <c r="K309">
        <v>0.24</v>
      </c>
      <c r="L309" t="s">
        <v>25</v>
      </c>
      <c r="M309" t="s">
        <v>21</v>
      </c>
      <c r="N309" t="str">
        <f t="shared" si="20"/>
        <v>North-Charlie</v>
      </c>
      <c r="O309">
        <f t="shared" si="21"/>
        <v>84433.22</v>
      </c>
      <c r="P309">
        <f t="shared" si="22"/>
        <v>85633.589999999836</v>
      </c>
      <c r="Q309">
        <f t="shared" si="23"/>
        <v>1200.3699999998353</v>
      </c>
      <c r="R309">
        <f t="shared" si="24"/>
        <v>1.4017513454706705</v>
      </c>
    </row>
    <row r="310" spans="1:18" x14ac:dyDescent="0.35">
      <c r="A310">
        <v>1072</v>
      </c>
      <c r="B310" s="1">
        <v>45092</v>
      </c>
      <c r="C310" t="s">
        <v>22</v>
      </c>
      <c r="D310" t="s">
        <v>15</v>
      </c>
      <c r="E310">
        <v>6976.49</v>
      </c>
      <c r="F310">
        <v>35</v>
      </c>
      <c r="G310" t="s">
        <v>31</v>
      </c>
      <c r="H310">
        <v>4349.3599999999997</v>
      </c>
      <c r="I310">
        <v>4645.17</v>
      </c>
      <c r="J310" t="s">
        <v>17</v>
      </c>
      <c r="K310">
        <v>0.18</v>
      </c>
      <c r="L310" t="s">
        <v>28</v>
      </c>
      <c r="M310" t="s">
        <v>21</v>
      </c>
      <c r="N310" t="str">
        <f t="shared" si="20"/>
        <v>North-David</v>
      </c>
      <c r="O310">
        <f t="shared" si="21"/>
        <v>152227.59999999998</v>
      </c>
      <c r="P310">
        <f t="shared" si="22"/>
        <v>162580.95000000001</v>
      </c>
      <c r="Q310">
        <f t="shared" si="23"/>
        <v>10353.350000000035</v>
      </c>
      <c r="R310">
        <f t="shared" si="24"/>
        <v>6.3681200042194579</v>
      </c>
    </row>
    <row r="311" spans="1:18" x14ac:dyDescent="0.35">
      <c r="A311">
        <v>1036</v>
      </c>
      <c r="B311" s="1">
        <v>45245</v>
      </c>
      <c r="C311" t="s">
        <v>14</v>
      </c>
      <c r="D311" t="s">
        <v>20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28</v>
      </c>
      <c r="M311" t="s">
        <v>21</v>
      </c>
      <c r="N311" t="str">
        <f t="shared" si="20"/>
        <v>West-Bob</v>
      </c>
      <c r="O311">
        <f t="shared" si="21"/>
        <v>54054.429999999993</v>
      </c>
      <c r="P311">
        <f t="shared" si="22"/>
        <v>61085</v>
      </c>
      <c r="Q311">
        <f t="shared" si="23"/>
        <v>7030.570000000007</v>
      </c>
      <c r="R311">
        <f t="shared" si="24"/>
        <v>11.509486780715408</v>
      </c>
    </row>
    <row r="312" spans="1:18" x14ac:dyDescent="0.35">
      <c r="A312">
        <v>1038</v>
      </c>
      <c r="B312" s="1">
        <v>45058</v>
      </c>
      <c r="C312" t="s">
        <v>14</v>
      </c>
      <c r="D312" t="s">
        <v>23</v>
      </c>
      <c r="E312">
        <v>8630.74</v>
      </c>
      <c r="F312">
        <v>20</v>
      </c>
      <c r="G312" t="s">
        <v>26</v>
      </c>
      <c r="H312">
        <v>2607.31</v>
      </c>
      <c r="I312">
        <v>2774.86</v>
      </c>
      <c r="J312" t="s">
        <v>27</v>
      </c>
      <c r="K312">
        <v>0.27</v>
      </c>
      <c r="L312" t="s">
        <v>28</v>
      </c>
      <c r="M312" t="s">
        <v>21</v>
      </c>
      <c r="N312" t="str">
        <f t="shared" si="20"/>
        <v>South-Bob</v>
      </c>
      <c r="O312">
        <f t="shared" si="21"/>
        <v>52146.2</v>
      </c>
      <c r="P312">
        <f t="shared" si="22"/>
        <v>55497.200000000004</v>
      </c>
      <c r="Q312">
        <f t="shared" si="23"/>
        <v>3351.0000000000073</v>
      </c>
      <c r="R312">
        <f t="shared" si="24"/>
        <v>6.0381424648450857</v>
      </c>
    </row>
    <row r="313" spans="1:18" x14ac:dyDescent="0.35">
      <c r="A313">
        <v>1084</v>
      </c>
      <c r="B313" s="1">
        <v>45190</v>
      </c>
      <c r="C313" t="s">
        <v>32</v>
      </c>
      <c r="D313" t="s">
        <v>23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27</v>
      </c>
      <c r="K313">
        <v>0.25</v>
      </c>
      <c r="L313" t="s">
        <v>28</v>
      </c>
      <c r="M313" t="s">
        <v>19</v>
      </c>
      <c r="N313" t="str">
        <f t="shared" si="20"/>
        <v>South-Eve</v>
      </c>
      <c r="O313">
        <f t="shared" si="21"/>
        <v>52515.72</v>
      </c>
      <c r="P313">
        <f t="shared" si="22"/>
        <v>53487</v>
      </c>
      <c r="Q313">
        <f t="shared" si="23"/>
        <v>971.27999999999884</v>
      </c>
      <c r="R313">
        <f t="shared" si="24"/>
        <v>1.8159178865892627</v>
      </c>
    </row>
    <row r="314" spans="1:18" x14ac:dyDescent="0.35">
      <c r="A314">
        <v>1099</v>
      </c>
      <c r="B314" s="1">
        <v>44981</v>
      </c>
      <c r="C314" t="s">
        <v>22</v>
      </c>
      <c r="D314" t="s">
        <v>30</v>
      </c>
      <c r="E314">
        <v>8090</v>
      </c>
      <c r="F314">
        <v>35</v>
      </c>
      <c r="G314" t="s">
        <v>26</v>
      </c>
      <c r="H314">
        <v>2610.19</v>
      </c>
      <c r="I314">
        <v>2682.53</v>
      </c>
      <c r="J314" t="s">
        <v>27</v>
      </c>
      <c r="K314">
        <v>0.14000000000000001</v>
      </c>
      <c r="L314" t="s">
        <v>18</v>
      </c>
      <c r="M314" t="s">
        <v>21</v>
      </c>
      <c r="N314" t="str">
        <f t="shared" si="20"/>
        <v>East-David</v>
      </c>
      <c r="O314">
        <f t="shared" si="21"/>
        <v>91356.650000000009</v>
      </c>
      <c r="P314">
        <f t="shared" si="22"/>
        <v>93888.55</v>
      </c>
      <c r="Q314">
        <f t="shared" si="23"/>
        <v>2531.8999999999942</v>
      </c>
      <c r="R314">
        <f t="shared" si="24"/>
        <v>2.6967079585316784</v>
      </c>
    </row>
    <row r="315" spans="1:18" x14ac:dyDescent="0.35">
      <c r="A315">
        <v>1089</v>
      </c>
      <c r="B315" s="1">
        <v>45285</v>
      </c>
      <c r="C315" t="s">
        <v>32</v>
      </c>
      <c r="D315" t="s">
        <v>23</v>
      </c>
      <c r="E315">
        <v>2032.88</v>
      </c>
      <c r="F315">
        <v>32</v>
      </c>
      <c r="G315" t="s">
        <v>26</v>
      </c>
      <c r="H315">
        <v>4248.5</v>
      </c>
      <c r="I315">
        <v>4706.7</v>
      </c>
      <c r="J315" t="s">
        <v>27</v>
      </c>
      <c r="K315">
        <v>0.01</v>
      </c>
      <c r="L315" t="s">
        <v>25</v>
      </c>
      <c r="M315" t="s">
        <v>21</v>
      </c>
      <c r="N315" t="str">
        <f t="shared" si="20"/>
        <v>South-Eve</v>
      </c>
      <c r="O315">
        <f t="shared" si="21"/>
        <v>135952</v>
      </c>
      <c r="P315">
        <f t="shared" si="22"/>
        <v>150614.39999999999</v>
      </c>
      <c r="Q315">
        <f t="shared" si="23"/>
        <v>14662.399999999994</v>
      </c>
      <c r="R315">
        <f t="shared" si="24"/>
        <v>9.735058533579787</v>
      </c>
    </row>
    <row r="316" spans="1:18" x14ac:dyDescent="0.35">
      <c r="A316">
        <v>1099</v>
      </c>
      <c r="B316" s="1">
        <v>45057</v>
      </c>
      <c r="C316" t="s">
        <v>33</v>
      </c>
      <c r="D316" t="s">
        <v>23</v>
      </c>
      <c r="E316">
        <v>3518.89</v>
      </c>
      <c r="F316">
        <v>48</v>
      </c>
      <c r="G316" t="s">
        <v>24</v>
      </c>
      <c r="H316">
        <v>3441.61</v>
      </c>
      <c r="I316">
        <v>3693.45</v>
      </c>
      <c r="J316" t="s">
        <v>17</v>
      </c>
      <c r="K316">
        <v>0.19</v>
      </c>
      <c r="L316" t="s">
        <v>25</v>
      </c>
      <c r="M316" t="s">
        <v>19</v>
      </c>
      <c r="N316" t="str">
        <f t="shared" si="20"/>
        <v>South-Alice</v>
      </c>
      <c r="O316">
        <f t="shared" si="21"/>
        <v>165197.28</v>
      </c>
      <c r="P316">
        <f t="shared" si="22"/>
        <v>177285.59999999998</v>
      </c>
      <c r="Q316">
        <f t="shared" si="23"/>
        <v>12088.319999999978</v>
      </c>
      <c r="R316">
        <f t="shared" si="24"/>
        <v>6.8185571755404721</v>
      </c>
    </row>
    <row r="317" spans="1:18" x14ac:dyDescent="0.35">
      <c r="A317">
        <v>1025</v>
      </c>
      <c r="B317" s="1">
        <v>45214</v>
      </c>
      <c r="C317" t="s">
        <v>22</v>
      </c>
      <c r="D317" t="s">
        <v>15</v>
      </c>
      <c r="E317">
        <v>3422.54</v>
      </c>
      <c r="F317">
        <v>44</v>
      </c>
      <c r="G317" t="s">
        <v>24</v>
      </c>
      <c r="H317">
        <v>1485.72</v>
      </c>
      <c r="I317">
        <v>1717.97</v>
      </c>
      <c r="J317" t="s">
        <v>27</v>
      </c>
      <c r="K317">
        <v>0.02</v>
      </c>
      <c r="L317" t="s">
        <v>28</v>
      </c>
      <c r="M317" t="s">
        <v>21</v>
      </c>
      <c r="N317" t="str">
        <f t="shared" si="20"/>
        <v>North-David</v>
      </c>
      <c r="O317">
        <f t="shared" si="21"/>
        <v>65371.68</v>
      </c>
      <c r="P317">
        <f t="shared" si="22"/>
        <v>75590.680000000008</v>
      </c>
      <c r="Q317">
        <f t="shared" si="23"/>
        <v>10219.000000000007</v>
      </c>
      <c r="R317">
        <f t="shared" si="24"/>
        <v>13.51886237827204</v>
      </c>
    </row>
    <row r="318" spans="1:18" x14ac:dyDescent="0.35">
      <c r="A318">
        <v>1093</v>
      </c>
      <c r="B318" s="1">
        <v>45192</v>
      </c>
      <c r="C318" t="s">
        <v>29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27</v>
      </c>
      <c r="K318">
        <v>0.28000000000000003</v>
      </c>
      <c r="L318" t="s">
        <v>28</v>
      </c>
      <c r="M318" t="s">
        <v>21</v>
      </c>
      <c r="N318" t="str">
        <f t="shared" si="20"/>
        <v>North-Charlie</v>
      </c>
      <c r="O318">
        <f t="shared" si="21"/>
        <v>41890</v>
      </c>
      <c r="P318">
        <f t="shared" si="22"/>
        <v>43035.600000000006</v>
      </c>
      <c r="Q318">
        <f t="shared" si="23"/>
        <v>1145.6000000000058</v>
      </c>
      <c r="R318">
        <f t="shared" si="24"/>
        <v>2.6619821728987296</v>
      </c>
    </row>
    <row r="319" spans="1:18" x14ac:dyDescent="0.35">
      <c r="A319">
        <v>1018</v>
      </c>
      <c r="B319" s="1">
        <v>45292</v>
      </c>
      <c r="C319" t="s">
        <v>33</v>
      </c>
      <c r="D319" t="s">
        <v>20</v>
      </c>
      <c r="E319">
        <v>8579.7199999999993</v>
      </c>
      <c r="F319">
        <v>24</v>
      </c>
      <c r="G319" t="s">
        <v>31</v>
      </c>
      <c r="H319">
        <v>1362.78</v>
      </c>
      <c r="I319">
        <v>1729.81</v>
      </c>
      <c r="J319" t="s">
        <v>27</v>
      </c>
      <c r="K319">
        <v>0.28999999999999998</v>
      </c>
      <c r="L319" t="s">
        <v>25</v>
      </c>
      <c r="M319" t="s">
        <v>19</v>
      </c>
      <c r="N319" t="str">
        <f t="shared" si="20"/>
        <v>West-Alice</v>
      </c>
      <c r="O319">
        <f t="shared" si="21"/>
        <v>32706.720000000001</v>
      </c>
      <c r="P319">
        <f t="shared" si="22"/>
        <v>41515.440000000002</v>
      </c>
      <c r="Q319">
        <f t="shared" si="23"/>
        <v>8808.7200000000012</v>
      </c>
      <c r="R319">
        <f t="shared" si="24"/>
        <v>21.217937230100418</v>
      </c>
    </row>
    <row r="320" spans="1:18" x14ac:dyDescent="0.35">
      <c r="A320">
        <v>1082</v>
      </c>
      <c r="B320" s="1">
        <v>45088</v>
      </c>
      <c r="C320" t="s">
        <v>33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21</v>
      </c>
      <c r="N320" t="str">
        <f t="shared" si="20"/>
        <v>North-Alice</v>
      </c>
      <c r="O320">
        <f t="shared" si="21"/>
        <v>15135.269999999999</v>
      </c>
      <c r="P320">
        <f t="shared" si="22"/>
        <v>19704.02</v>
      </c>
      <c r="Q320">
        <f t="shared" si="23"/>
        <v>4568.7500000000018</v>
      </c>
      <c r="R320">
        <f t="shared" si="24"/>
        <v>23.186892826945982</v>
      </c>
    </row>
    <row r="321" spans="1:18" x14ac:dyDescent="0.35">
      <c r="A321">
        <v>1066</v>
      </c>
      <c r="B321" s="1">
        <v>45013</v>
      </c>
      <c r="C321" t="s">
        <v>29</v>
      </c>
      <c r="D321" t="s">
        <v>15</v>
      </c>
      <c r="E321">
        <v>7297.86</v>
      </c>
      <c r="F321">
        <v>7</v>
      </c>
      <c r="G321" t="s">
        <v>26</v>
      </c>
      <c r="H321">
        <v>523.41999999999996</v>
      </c>
      <c r="I321">
        <v>632.43999999999903</v>
      </c>
      <c r="J321" t="s">
        <v>27</v>
      </c>
      <c r="K321">
        <v>0.2</v>
      </c>
      <c r="L321" t="s">
        <v>25</v>
      </c>
      <c r="M321" t="s">
        <v>19</v>
      </c>
      <c r="N321" t="str">
        <f t="shared" si="20"/>
        <v>North-Charlie</v>
      </c>
      <c r="O321">
        <f t="shared" si="21"/>
        <v>3663.9399999999996</v>
      </c>
      <c r="P321">
        <f t="shared" si="22"/>
        <v>4427.0799999999936</v>
      </c>
      <c r="Q321">
        <f t="shared" si="23"/>
        <v>763.13999999999396</v>
      </c>
      <c r="R321">
        <f t="shared" si="24"/>
        <v>17.237998861551972</v>
      </c>
    </row>
    <row r="322" spans="1:18" x14ac:dyDescent="0.35">
      <c r="A322">
        <v>1054</v>
      </c>
      <c r="B322" s="1">
        <v>44981</v>
      </c>
      <c r="C322" t="s">
        <v>33</v>
      </c>
      <c r="D322" t="s">
        <v>15</v>
      </c>
      <c r="E322">
        <v>5664.52</v>
      </c>
      <c r="F322">
        <v>43</v>
      </c>
      <c r="G322" t="s">
        <v>24</v>
      </c>
      <c r="H322">
        <v>2124.7199999999998</v>
      </c>
      <c r="I322">
        <v>2188.66</v>
      </c>
      <c r="J322" t="s">
        <v>17</v>
      </c>
      <c r="K322">
        <v>0.03</v>
      </c>
      <c r="L322" t="s">
        <v>28</v>
      </c>
      <c r="M322" t="s">
        <v>21</v>
      </c>
      <c r="N322" t="str">
        <f t="shared" si="20"/>
        <v>North-Alice</v>
      </c>
      <c r="O322">
        <f t="shared" si="21"/>
        <v>91362.959999999992</v>
      </c>
      <c r="P322">
        <f t="shared" si="22"/>
        <v>94112.37999999999</v>
      </c>
      <c r="Q322">
        <f t="shared" si="23"/>
        <v>2749.4199999999983</v>
      </c>
      <c r="R322">
        <f t="shared" si="24"/>
        <v>2.9214222400921095</v>
      </c>
    </row>
    <row r="323" spans="1:18" x14ac:dyDescent="0.35">
      <c r="A323">
        <v>1035</v>
      </c>
      <c r="B323" s="1">
        <v>45214</v>
      </c>
      <c r="C323" t="s">
        <v>22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27</v>
      </c>
      <c r="K323">
        <v>0.22</v>
      </c>
      <c r="L323" t="s">
        <v>28</v>
      </c>
      <c r="M323" t="s">
        <v>19</v>
      </c>
      <c r="N323" t="str">
        <f t="shared" ref="N323:N386" si="25">D323 &amp; "-" &amp; C323</f>
        <v>North-David</v>
      </c>
      <c r="O323">
        <f t="shared" ref="O323:O386" si="26">F323*H323</f>
        <v>610.83000000000004</v>
      </c>
      <c r="P323">
        <f t="shared" ref="P323:P386" si="27">F323*I323</f>
        <v>808.69</v>
      </c>
      <c r="Q323">
        <f t="shared" ref="Q323:Q386" si="28">P323-O323</f>
        <v>197.86</v>
      </c>
      <c r="R323">
        <f t="shared" ref="R323:R386" si="29">(Q323/P323)*100</f>
        <v>24.466730143812836</v>
      </c>
    </row>
    <row r="324" spans="1:18" x14ac:dyDescent="0.35">
      <c r="A324">
        <v>1080</v>
      </c>
      <c r="B324" s="1">
        <v>45104</v>
      </c>
      <c r="C324" t="s">
        <v>32</v>
      </c>
      <c r="D324" t="s">
        <v>20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tr">
        <f t="shared" si="25"/>
        <v>West-Eve</v>
      </c>
      <c r="O324">
        <f t="shared" si="26"/>
        <v>31533.95</v>
      </c>
      <c r="P324">
        <f t="shared" si="27"/>
        <v>46241.3</v>
      </c>
      <c r="Q324">
        <f t="shared" si="28"/>
        <v>14707.350000000002</v>
      </c>
      <c r="R324">
        <f t="shared" si="29"/>
        <v>31.805658577937905</v>
      </c>
    </row>
    <row r="325" spans="1:18" x14ac:dyDescent="0.35">
      <c r="A325">
        <v>1061</v>
      </c>
      <c r="B325" s="1">
        <v>45275</v>
      </c>
      <c r="C325" t="s">
        <v>33</v>
      </c>
      <c r="D325" t="s">
        <v>15</v>
      </c>
      <c r="E325">
        <v>3867.13</v>
      </c>
      <c r="F325">
        <v>32</v>
      </c>
      <c r="G325" t="s">
        <v>24</v>
      </c>
      <c r="H325">
        <v>2759.26</v>
      </c>
      <c r="I325">
        <v>3193.25</v>
      </c>
      <c r="J325" t="s">
        <v>27</v>
      </c>
      <c r="K325">
        <v>0.2</v>
      </c>
      <c r="L325" t="s">
        <v>25</v>
      </c>
      <c r="M325" t="s">
        <v>19</v>
      </c>
      <c r="N325" t="str">
        <f t="shared" si="25"/>
        <v>North-Alice</v>
      </c>
      <c r="O325">
        <f t="shared" si="26"/>
        <v>88296.320000000007</v>
      </c>
      <c r="P325">
        <f t="shared" si="27"/>
        <v>102184</v>
      </c>
      <c r="Q325">
        <f t="shared" si="28"/>
        <v>13887.679999999993</v>
      </c>
      <c r="R325">
        <f t="shared" si="29"/>
        <v>13.590855711265945</v>
      </c>
    </row>
    <row r="326" spans="1:18" x14ac:dyDescent="0.35">
      <c r="A326">
        <v>1041</v>
      </c>
      <c r="B326" s="1">
        <v>44934</v>
      </c>
      <c r="C326" t="s">
        <v>22</v>
      </c>
      <c r="D326" t="s">
        <v>30</v>
      </c>
      <c r="E326">
        <v>1714.05</v>
      </c>
      <c r="F326">
        <v>36</v>
      </c>
      <c r="G326" t="s">
        <v>24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21</v>
      </c>
      <c r="N326" t="str">
        <f t="shared" si="25"/>
        <v>East-David</v>
      </c>
      <c r="O326">
        <f t="shared" si="26"/>
        <v>31131.72</v>
      </c>
      <c r="P326">
        <f t="shared" si="27"/>
        <v>42125.759999999646</v>
      </c>
      <c r="Q326">
        <f t="shared" si="28"/>
        <v>10994.039999999644</v>
      </c>
      <c r="R326">
        <f t="shared" si="29"/>
        <v>26.098140425240366</v>
      </c>
    </row>
    <row r="327" spans="1:18" x14ac:dyDescent="0.35">
      <c r="A327">
        <v>1100</v>
      </c>
      <c r="B327" s="1">
        <v>45247</v>
      </c>
      <c r="C327" t="s">
        <v>14</v>
      </c>
      <c r="D327" t="s">
        <v>30</v>
      </c>
      <c r="E327">
        <v>7883.44</v>
      </c>
      <c r="F327">
        <v>13</v>
      </c>
      <c r="G327" t="s">
        <v>24</v>
      </c>
      <c r="H327">
        <v>366.2</v>
      </c>
      <c r="I327">
        <v>732.69</v>
      </c>
      <c r="J327" t="s">
        <v>27</v>
      </c>
      <c r="K327">
        <v>0.04</v>
      </c>
      <c r="L327" t="s">
        <v>18</v>
      </c>
      <c r="M327" t="s">
        <v>21</v>
      </c>
      <c r="N327" t="str">
        <f t="shared" si="25"/>
        <v>East-Bob</v>
      </c>
      <c r="O327">
        <f t="shared" si="26"/>
        <v>4760.5999999999995</v>
      </c>
      <c r="P327">
        <f t="shared" si="27"/>
        <v>9524.9700000000012</v>
      </c>
      <c r="Q327">
        <f t="shared" si="28"/>
        <v>4764.3700000000017</v>
      </c>
      <c r="R327">
        <f t="shared" si="29"/>
        <v>50.019790088577722</v>
      </c>
    </row>
    <row r="328" spans="1:18" x14ac:dyDescent="0.35">
      <c r="A328">
        <v>1033</v>
      </c>
      <c r="B328" s="1">
        <v>45239</v>
      </c>
      <c r="C328" t="s">
        <v>22</v>
      </c>
      <c r="D328" t="s">
        <v>30</v>
      </c>
      <c r="E328">
        <v>7370.99</v>
      </c>
      <c r="F328">
        <v>6</v>
      </c>
      <c r="G328" t="s">
        <v>26</v>
      </c>
      <c r="H328">
        <v>1621.07</v>
      </c>
      <c r="I328">
        <v>1687.5</v>
      </c>
      <c r="J328" t="s">
        <v>17</v>
      </c>
      <c r="K328">
        <v>0.12</v>
      </c>
      <c r="L328" t="s">
        <v>28</v>
      </c>
      <c r="M328" t="s">
        <v>19</v>
      </c>
      <c r="N328" t="str">
        <f t="shared" si="25"/>
        <v>East-David</v>
      </c>
      <c r="O328">
        <f t="shared" si="26"/>
        <v>9726.42</v>
      </c>
      <c r="P328">
        <f t="shared" si="27"/>
        <v>10125</v>
      </c>
      <c r="Q328">
        <f t="shared" si="28"/>
        <v>398.57999999999993</v>
      </c>
      <c r="R328">
        <f t="shared" si="29"/>
        <v>3.9365925925925915</v>
      </c>
    </row>
    <row r="329" spans="1:18" x14ac:dyDescent="0.35">
      <c r="A329">
        <v>1068</v>
      </c>
      <c r="B329" s="1">
        <v>45173</v>
      </c>
      <c r="C329" t="s">
        <v>32</v>
      </c>
      <c r="D329" t="s">
        <v>30</v>
      </c>
      <c r="E329">
        <v>3905.11</v>
      </c>
      <c r="F329">
        <v>14</v>
      </c>
      <c r="G329" t="s">
        <v>24</v>
      </c>
      <c r="H329">
        <v>1140.58</v>
      </c>
      <c r="I329">
        <v>1438.76</v>
      </c>
      <c r="J329" t="s">
        <v>17</v>
      </c>
      <c r="K329">
        <v>0.03</v>
      </c>
      <c r="L329" t="s">
        <v>25</v>
      </c>
      <c r="M329" t="s">
        <v>19</v>
      </c>
      <c r="N329" t="str">
        <f t="shared" si="25"/>
        <v>East-Eve</v>
      </c>
      <c r="O329">
        <f t="shared" si="26"/>
        <v>15968.119999999999</v>
      </c>
      <c r="P329">
        <f t="shared" si="27"/>
        <v>20142.64</v>
      </c>
      <c r="Q329">
        <f t="shared" si="28"/>
        <v>4174.5200000000004</v>
      </c>
      <c r="R329">
        <f t="shared" si="29"/>
        <v>20.724790792070952</v>
      </c>
    </row>
    <row r="330" spans="1:18" x14ac:dyDescent="0.35">
      <c r="A330">
        <v>1033</v>
      </c>
      <c r="B330" s="1">
        <v>45249</v>
      </c>
      <c r="C330" t="s">
        <v>22</v>
      </c>
      <c r="D330" t="s">
        <v>15</v>
      </c>
      <c r="E330">
        <v>349.41</v>
      </c>
      <c r="F330">
        <v>37</v>
      </c>
      <c r="G330" t="s">
        <v>31</v>
      </c>
      <c r="H330">
        <v>2600.7600000000002</v>
      </c>
      <c r="I330">
        <v>2937.57</v>
      </c>
      <c r="J330" t="s">
        <v>27</v>
      </c>
      <c r="K330">
        <v>0.17</v>
      </c>
      <c r="L330" t="s">
        <v>28</v>
      </c>
      <c r="M330" t="s">
        <v>21</v>
      </c>
      <c r="N330" t="str">
        <f t="shared" si="25"/>
        <v>North-David</v>
      </c>
      <c r="O330">
        <f t="shared" si="26"/>
        <v>96228.12000000001</v>
      </c>
      <c r="P330">
        <f t="shared" si="27"/>
        <v>108690.09000000001</v>
      </c>
      <c r="Q330">
        <f t="shared" si="28"/>
        <v>12461.970000000001</v>
      </c>
      <c r="R330">
        <f t="shared" si="29"/>
        <v>11.465599117638048</v>
      </c>
    </row>
    <row r="331" spans="1:18" x14ac:dyDescent="0.35">
      <c r="A331">
        <v>1014</v>
      </c>
      <c r="B331" s="1">
        <v>45181</v>
      </c>
      <c r="C331" t="s">
        <v>29</v>
      </c>
      <c r="D331" t="s">
        <v>30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25</v>
      </c>
      <c r="M331" t="s">
        <v>21</v>
      </c>
      <c r="N331" t="str">
        <f t="shared" si="25"/>
        <v>East-Charlie</v>
      </c>
      <c r="O331">
        <f t="shared" si="26"/>
        <v>26722.560000000001</v>
      </c>
      <c r="P331">
        <f t="shared" si="27"/>
        <v>31923.360000000001</v>
      </c>
      <c r="Q331">
        <f t="shared" si="28"/>
        <v>5200.7999999999993</v>
      </c>
      <c r="R331">
        <f t="shared" si="29"/>
        <v>16.291518186055601</v>
      </c>
    </row>
    <row r="332" spans="1:18" x14ac:dyDescent="0.35">
      <c r="A332">
        <v>1021</v>
      </c>
      <c r="B332" s="1">
        <v>45254</v>
      </c>
      <c r="C332" t="s">
        <v>32</v>
      </c>
      <c r="D332" t="s">
        <v>15</v>
      </c>
      <c r="E332">
        <v>213.04</v>
      </c>
      <c r="F332">
        <v>15</v>
      </c>
      <c r="G332" t="s">
        <v>24</v>
      </c>
      <c r="H332">
        <v>3771.27</v>
      </c>
      <c r="I332">
        <v>4212.55</v>
      </c>
      <c r="J332" t="s">
        <v>17</v>
      </c>
      <c r="K332">
        <v>0.16</v>
      </c>
      <c r="L332" t="s">
        <v>28</v>
      </c>
      <c r="M332" t="s">
        <v>21</v>
      </c>
      <c r="N332" t="str">
        <f t="shared" si="25"/>
        <v>North-Eve</v>
      </c>
      <c r="O332">
        <f t="shared" si="26"/>
        <v>56569.05</v>
      </c>
      <c r="P332">
        <f t="shared" si="27"/>
        <v>63188.25</v>
      </c>
      <c r="Q332">
        <f t="shared" si="28"/>
        <v>6619.1999999999971</v>
      </c>
      <c r="R332">
        <f t="shared" si="29"/>
        <v>10.475365277563467</v>
      </c>
    </row>
    <row r="333" spans="1:18" x14ac:dyDescent="0.35">
      <c r="A333">
        <v>1048</v>
      </c>
      <c r="B333" s="1">
        <v>44980</v>
      </c>
      <c r="C333" t="s">
        <v>14</v>
      </c>
      <c r="D333" t="s">
        <v>20</v>
      </c>
      <c r="E333">
        <v>7066.63</v>
      </c>
      <c r="F333">
        <v>47</v>
      </c>
      <c r="G333" t="s">
        <v>24</v>
      </c>
      <c r="H333">
        <v>4535.8599999999997</v>
      </c>
      <c r="I333">
        <v>4641.41</v>
      </c>
      <c r="J333" t="s">
        <v>27</v>
      </c>
      <c r="K333">
        <v>0.27</v>
      </c>
      <c r="L333" t="s">
        <v>28</v>
      </c>
      <c r="M333" t="s">
        <v>21</v>
      </c>
      <c r="N333" t="str">
        <f t="shared" si="25"/>
        <v>West-Bob</v>
      </c>
      <c r="O333">
        <f t="shared" si="26"/>
        <v>213185.41999999998</v>
      </c>
      <c r="P333">
        <f t="shared" si="27"/>
        <v>218146.27</v>
      </c>
      <c r="Q333">
        <f t="shared" si="28"/>
        <v>4960.8500000000058</v>
      </c>
      <c r="R333">
        <f t="shared" si="29"/>
        <v>2.2740934328145999</v>
      </c>
    </row>
    <row r="334" spans="1:18" x14ac:dyDescent="0.35">
      <c r="A334">
        <v>1020</v>
      </c>
      <c r="B334" s="1">
        <v>45175</v>
      </c>
      <c r="C334" t="s">
        <v>29</v>
      </c>
      <c r="D334" t="s">
        <v>30</v>
      </c>
      <c r="E334">
        <v>9705.5499999999993</v>
      </c>
      <c r="F334">
        <v>4</v>
      </c>
      <c r="G334" t="s">
        <v>26</v>
      </c>
      <c r="H334">
        <v>3730</v>
      </c>
      <c r="I334">
        <v>3893.6</v>
      </c>
      <c r="J334" t="s">
        <v>27</v>
      </c>
      <c r="K334">
        <v>0.25</v>
      </c>
      <c r="L334" t="s">
        <v>25</v>
      </c>
      <c r="M334" t="s">
        <v>21</v>
      </c>
      <c r="N334" t="str">
        <f t="shared" si="25"/>
        <v>East-Charlie</v>
      </c>
      <c r="O334">
        <f t="shared" si="26"/>
        <v>14920</v>
      </c>
      <c r="P334">
        <f t="shared" si="27"/>
        <v>15574.4</v>
      </c>
      <c r="Q334">
        <f t="shared" si="28"/>
        <v>654.39999999999964</v>
      </c>
      <c r="R334">
        <f t="shared" si="29"/>
        <v>4.2017670022601168</v>
      </c>
    </row>
    <row r="335" spans="1:18" x14ac:dyDescent="0.35">
      <c r="A335">
        <v>1008</v>
      </c>
      <c r="B335" s="1">
        <v>45165</v>
      </c>
      <c r="C335" t="s">
        <v>22</v>
      </c>
      <c r="D335" t="s">
        <v>23</v>
      </c>
      <c r="E335">
        <v>4432.8500000000004</v>
      </c>
      <c r="F335">
        <v>40</v>
      </c>
      <c r="G335" t="s">
        <v>26</v>
      </c>
      <c r="H335">
        <v>2687.49</v>
      </c>
      <c r="I335">
        <v>3001.56</v>
      </c>
      <c r="J335" t="s">
        <v>17</v>
      </c>
      <c r="K335">
        <v>0.26</v>
      </c>
      <c r="L335" t="s">
        <v>25</v>
      </c>
      <c r="M335" t="s">
        <v>19</v>
      </c>
      <c r="N335" t="str">
        <f t="shared" si="25"/>
        <v>South-David</v>
      </c>
      <c r="O335">
        <f t="shared" si="26"/>
        <v>107499.59999999999</v>
      </c>
      <c r="P335">
        <f t="shared" si="27"/>
        <v>120062.39999999999</v>
      </c>
      <c r="Q335">
        <f t="shared" si="28"/>
        <v>12562.800000000003</v>
      </c>
      <c r="R335">
        <f t="shared" si="29"/>
        <v>10.463558949346343</v>
      </c>
    </row>
    <row r="336" spans="1:18" x14ac:dyDescent="0.35">
      <c r="A336">
        <v>1007</v>
      </c>
      <c r="B336" s="1">
        <v>45155</v>
      </c>
      <c r="C336" t="s">
        <v>32</v>
      </c>
      <c r="D336" t="s">
        <v>30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27</v>
      </c>
      <c r="K336">
        <v>0.28000000000000003</v>
      </c>
      <c r="L336" t="s">
        <v>28</v>
      </c>
      <c r="M336" t="s">
        <v>21</v>
      </c>
      <c r="N336" t="str">
        <f t="shared" si="25"/>
        <v>East-Eve</v>
      </c>
      <c r="O336">
        <f t="shared" si="26"/>
        <v>68964.960000000006</v>
      </c>
      <c r="P336">
        <f t="shared" si="27"/>
        <v>74129.600000000006</v>
      </c>
      <c r="Q336">
        <f t="shared" si="28"/>
        <v>5164.6399999999994</v>
      </c>
      <c r="R336">
        <f t="shared" si="29"/>
        <v>6.9670415056873356</v>
      </c>
    </row>
    <row r="337" spans="1:18" x14ac:dyDescent="0.35">
      <c r="A337">
        <v>1067</v>
      </c>
      <c r="B337" s="1">
        <v>44993</v>
      </c>
      <c r="C337" t="s">
        <v>14</v>
      </c>
      <c r="D337" t="s">
        <v>30</v>
      </c>
      <c r="E337">
        <v>7078.22</v>
      </c>
      <c r="F337">
        <v>28</v>
      </c>
      <c r="G337" t="s">
        <v>31</v>
      </c>
      <c r="H337">
        <v>3489.85</v>
      </c>
      <c r="I337">
        <v>3842.5499999999902</v>
      </c>
      <c r="J337" t="s">
        <v>27</v>
      </c>
      <c r="K337">
        <v>0.03</v>
      </c>
      <c r="L337" t="s">
        <v>25</v>
      </c>
      <c r="M337" t="s">
        <v>19</v>
      </c>
      <c r="N337" t="str">
        <f t="shared" si="25"/>
        <v>East-Bob</v>
      </c>
      <c r="O337">
        <f t="shared" si="26"/>
        <v>97715.8</v>
      </c>
      <c r="P337">
        <f t="shared" si="27"/>
        <v>107591.39999999973</v>
      </c>
      <c r="Q337">
        <f t="shared" si="28"/>
        <v>9875.5999999997293</v>
      </c>
      <c r="R337">
        <f t="shared" si="29"/>
        <v>9.1788005361021003</v>
      </c>
    </row>
    <row r="338" spans="1:18" x14ac:dyDescent="0.35">
      <c r="A338">
        <v>1017</v>
      </c>
      <c r="B338" s="1">
        <v>44977</v>
      </c>
      <c r="C338" t="s">
        <v>29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27</v>
      </c>
      <c r="K338">
        <v>0.04</v>
      </c>
      <c r="L338" t="s">
        <v>28</v>
      </c>
      <c r="M338" t="s">
        <v>21</v>
      </c>
      <c r="N338" t="str">
        <f t="shared" si="25"/>
        <v>North-Charlie</v>
      </c>
      <c r="O338">
        <f t="shared" si="26"/>
        <v>1635.68</v>
      </c>
      <c r="P338">
        <f t="shared" si="27"/>
        <v>2673.92</v>
      </c>
      <c r="Q338">
        <f t="shared" si="28"/>
        <v>1038.24</v>
      </c>
      <c r="R338">
        <f t="shared" si="29"/>
        <v>38.828386787936815</v>
      </c>
    </row>
    <row r="339" spans="1:18" x14ac:dyDescent="0.35">
      <c r="A339">
        <v>1033</v>
      </c>
      <c r="B339" s="1">
        <v>45023</v>
      </c>
      <c r="C339" t="s">
        <v>14</v>
      </c>
      <c r="D339" t="s">
        <v>30</v>
      </c>
      <c r="E339">
        <v>5509.66</v>
      </c>
      <c r="F339">
        <v>4</v>
      </c>
      <c r="G339" t="s">
        <v>24</v>
      </c>
      <c r="H339">
        <v>2000.75</v>
      </c>
      <c r="I339">
        <v>2426.9899999999998</v>
      </c>
      <c r="J339" t="s">
        <v>17</v>
      </c>
      <c r="K339">
        <v>0.17</v>
      </c>
      <c r="L339" t="s">
        <v>25</v>
      </c>
      <c r="M339" t="s">
        <v>19</v>
      </c>
      <c r="N339" t="str">
        <f t="shared" si="25"/>
        <v>East-Bob</v>
      </c>
      <c r="O339">
        <f t="shared" si="26"/>
        <v>8003</v>
      </c>
      <c r="P339">
        <f t="shared" si="27"/>
        <v>9707.9599999999991</v>
      </c>
      <c r="Q339">
        <f t="shared" si="28"/>
        <v>1704.9599999999991</v>
      </c>
      <c r="R339">
        <f t="shared" si="29"/>
        <v>17.562495107107974</v>
      </c>
    </row>
    <row r="340" spans="1:18" x14ac:dyDescent="0.35">
      <c r="A340">
        <v>1048</v>
      </c>
      <c r="B340" s="1">
        <v>45018</v>
      </c>
      <c r="C340" t="s">
        <v>22</v>
      </c>
      <c r="D340" t="s">
        <v>23</v>
      </c>
      <c r="E340">
        <v>9673.65</v>
      </c>
      <c r="F340">
        <v>45</v>
      </c>
      <c r="G340" t="s">
        <v>31</v>
      </c>
      <c r="H340">
        <v>4262.21</v>
      </c>
      <c r="I340">
        <v>4533.3100000000004</v>
      </c>
      <c r="J340" t="s">
        <v>17</v>
      </c>
      <c r="K340">
        <v>0.27</v>
      </c>
      <c r="L340" t="s">
        <v>28</v>
      </c>
      <c r="M340" t="s">
        <v>19</v>
      </c>
      <c r="N340" t="str">
        <f t="shared" si="25"/>
        <v>South-David</v>
      </c>
      <c r="O340">
        <f t="shared" si="26"/>
        <v>191799.45</v>
      </c>
      <c r="P340">
        <f t="shared" si="27"/>
        <v>203998.95</v>
      </c>
      <c r="Q340">
        <f t="shared" si="28"/>
        <v>12199.5</v>
      </c>
      <c r="R340">
        <f t="shared" si="29"/>
        <v>5.9801778391506426</v>
      </c>
    </row>
    <row r="341" spans="1:18" x14ac:dyDescent="0.3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31</v>
      </c>
      <c r="H341">
        <v>1762</v>
      </c>
      <c r="I341">
        <v>2002.95</v>
      </c>
      <c r="J341" t="s">
        <v>17</v>
      </c>
      <c r="K341">
        <v>0.28999999999999998</v>
      </c>
      <c r="L341" t="s">
        <v>28</v>
      </c>
      <c r="M341" t="s">
        <v>21</v>
      </c>
      <c r="N341" t="str">
        <f t="shared" si="25"/>
        <v>North-Bob</v>
      </c>
      <c r="O341">
        <f t="shared" si="26"/>
        <v>45812</v>
      </c>
      <c r="P341">
        <f t="shared" si="27"/>
        <v>52076.700000000004</v>
      </c>
      <c r="Q341">
        <f t="shared" si="28"/>
        <v>6264.7000000000044</v>
      </c>
      <c r="R341">
        <f t="shared" si="29"/>
        <v>12.029756109738143</v>
      </c>
    </row>
    <row r="342" spans="1:18" x14ac:dyDescent="0.35">
      <c r="A342">
        <v>1059</v>
      </c>
      <c r="B342" s="1">
        <v>45217</v>
      </c>
      <c r="C342" t="s">
        <v>33</v>
      </c>
      <c r="D342" t="s">
        <v>15</v>
      </c>
      <c r="E342">
        <v>5097.4799999999996</v>
      </c>
      <c r="F342">
        <v>28</v>
      </c>
      <c r="G342" t="s">
        <v>31</v>
      </c>
      <c r="H342">
        <v>224.32</v>
      </c>
      <c r="I342">
        <v>715.06</v>
      </c>
      <c r="J342" t="s">
        <v>17</v>
      </c>
      <c r="K342">
        <v>0.01</v>
      </c>
      <c r="L342" t="s">
        <v>28</v>
      </c>
      <c r="M342" t="s">
        <v>19</v>
      </c>
      <c r="N342" t="str">
        <f t="shared" si="25"/>
        <v>North-Alice</v>
      </c>
      <c r="O342">
        <f t="shared" si="26"/>
        <v>6280.96</v>
      </c>
      <c r="P342">
        <f t="shared" si="27"/>
        <v>20021.68</v>
      </c>
      <c r="Q342">
        <f t="shared" si="28"/>
        <v>13740.720000000001</v>
      </c>
      <c r="R342">
        <f t="shared" si="29"/>
        <v>68.629205940760215</v>
      </c>
    </row>
    <row r="343" spans="1:18" x14ac:dyDescent="0.35">
      <c r="A343">
        <v>1086</v>
      </c>
      <c r="B343" s="1">
        <v>45022</v>
      </c>
      <c r="C343" t="s">
        <v>29</v>
      </c>
      <c r="D343" t="s">
        <v>20</v>
      </c>
      <c r="E343">
        <v>7212.69</v>
      </c>
      <c r="F343">
        <v>32</v>
      </c>
      <c r="G343" t="s">
        <v>31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tr">
        <f t="shared" si="25"/>
        <v>West-Charlie</v>
      </c>
      <c r="O343">
        <f t="shared" si="26"/>
        <v>119794.88</v>
      </c>
      <c r="P343">
        <f t="shared" si="27"/>
        <v>131724.16</v>
      </c>
      <c r="Q343">
        <f t="shared" si="28"/>
        <v>11929.279999999999</v>
      </c>
      <c r="R343">
        <f t="shared" si="29"/>
        <v>9.0562581685850176</v>
      </c>
    </row>
    <row r="344" spans="1:18" x14ac:dyDescent="0.35">
      <c r="A344">
        <v>1022</v>
      </c>
      <c r="B344" s="1">
        <v>45014</v>
      </c>
      <c r="C344" t="s">
        <v>14</v>
      </c>
      <c r="D344" t="s">
        <v>20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25</v>
      </c>
      <c r="M344" t="s">
        <v>19</v>
      </c>
      <c r="N344" t="str">
        <f t="shared" si="25"/>
        <v>West-Bob</v>
      </c>
      <c r="O344">
        <f t="shared" si="26"/>
        <v>180904.05000000002</v>
      </c>
      <c r="P344">
        <f t="shared" si="27"/>
        <v>183955.94999999998</v>
      </c>
      <c r="Q344">
        <f t="shared" si="28"/>
        <v>3051.8999999999651</v>
      </c>
      <c r="R344">
        <f t="shared" si="29"/>
        <v>1.6590384817669477</v>
      </c>
    </row>
    <row r="345" spans="1:18" x14ac:dyDescent="0.35">
      <c r="A345">
        <v>1030</v>
      </c>
      <c r="B345" s="1">
        <v>45004</v>
      </c>
      <c r="C345" t="s">
        <v>22</v>
      </c>
      <c r="D345" t="s">
        <v>30</v>
      </c>
      <c r="E345">
        <v>1874.63</v>
      </c>
      <c r="F345">
        <v>2</v>
      </c>
      <c r="G345" t="s">
        <v>26</v>
      </c>
      <c r="H345">
        <v>844.94</v>
      </c>
      <c r="I345">
        <v>1225.6400000000001</v>
      </c>
      <c r="J345" t="s">
        <v>17</v>
      </c>
      <c r="K345">
        <v>0.23</v>
      </c>
      <c r="L345" t="s">
        <v>28</v>
      </c>
      <c r="M345" t="s">
        <v>19</v>
      </c>
      <c r="N345" t="str">
        <f t="shared" si="25"/>
        <v>East-David</v>
      </c>
      <c r="O345">
        <f t="shared" si="26"/>
        <v>1689.88</v>
      </c>
      <c r="P345">
        <f t="shared" si="27"/>
        <v>2451.2800000000002</v>
      </c>
      <c r="Q345">
        <f t="shared" si="28"/>
        <v>761.40000000000009</v>
      </c>
      <c r="R345">
        <f t="shared" si="29"/>
        <v>31.061323063868674</v>
      </c>
    </row>
    <row r="346" spans="1:18" x14ac:dyDescent="0.35">
      <c r="A346">
        <v>1038</v>
      </c>
      <c r="B346" s="1">
        <v>45214</v>
      </c>
      <c r="C346" t="s">
        <v>22</v>
      </c>
      <c r="D346" t="s">
        <v>20</v>
      </c>
      <c r="E346">
        <v>8020.03</v>
      </c>
      <c r="F346">
        <v>31</v>
      </c>
      <c r="G346" t="s">
        <v>26</v>
      </c>
      <c r="H346">
        <v>2709.84</v>
      </c>
      <c r="I346">
        <v>2766.51</v>
      </c>
      <c r="J346" t="s">
        <v>27</v>
      </c>
      <c r="K346">
        <v>0.19</v>
      </c>
      <c r="L346" t="s">
        <v>18</v>
      </c>
      <c r="M346" t="s">
        <v>21</v>
      </c>
      <c r="N346" t="str">
        <f t="shared" si="25"/>
        <v>West-David</v>
      </c>
      <c r="O346">
        <f t="shared" si="26"/>
        <v>84005.040000000008</v>
      </c>
      <c r="P346">
        <f t="shared" si="27"/>
        <v>85761.810000000012</v>
      </c>
      <c r="Q346">
        <f t="shared" si="28"/>
        <v>1756.7700000000041</v>
      </c>
      <c r="R346">
        <f t="shared" si="29"/>
        <v>2.0484292484032274</v>
      </c>
    </row>
    <row r="347" spans="1:18" x14ac:dyDescent="0.35">
      <c r="A347">
        <v>1051</v>
      </c>
      <c r="B347" s="1">
        <v>45046</v>
      </c>
      <c r="C347" t="s">
        <v>14</v>
      </c>
      <c r="D347" t="s">
        <v>20</v>
      </c>
      <c r="E347">
        <v>5571.8</v>
      </c>
      <c r="F347">
        <v>3</v>
      </c>
      <c r="G347" t="s">
        <v>24</v>
      </c>
      <c r="H347">
        <v>1000.18</v>
      </c>
      <c r="I347">
        <v>1023.64</v>
      </c>
      <c r="J347" t="s">
        <v>17</v>
      </c>
      <c r="K347">
        <v>0.04</v>
      </c>
      <c r="L347" t="s">
        <v>28</v>
      </c>
      <c r="M347" t="s">
        <v>19</v>
      </c>
      <c r="N347" t="str">
        <f t="shared" si="25"/>
        <v>West-Bob</v>
      </c>
      <c r="O347">
        <f t="shared" si="26"/>
        <v>3000.54</v>
      </c>
      <c r="P347">
        <f t="shared" si="27"/>
        <v>3070.92</v>
      </c>
      <c r="Q347">
        <f t="shared" si="28"/>
        <v>70.380000000000109</v>
      </c>
      <c r="R347">
        <f t="shared" si="29"/>
        <v>2.291821343441057</v>
      </c>
    </row>
    <row r="348" spans="1:18" x14ac:dyDescent="0.35">
      <c r="A348">
        <v>1054</v>
      </c>
      <c r="B348" s="1">
        <v>45228</v>
      </c>
      <c r="C348" t="s">
        <v>22</v>
      </c>
      <c r="D348" t="s">
        <v>20</v>
      </c>
      <c r="E348">
        <v>4025.88</v>
      </c>
      <c r="F348">
        <v>8</v>
      </c>
      <c r="G348" t="s">
        <v>26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21</v>
      </c>
      <c r="N348" t="str">
        <f t="shared" si="25"/>
        <v>West-David</v>
      </c>
      <c r="O348">
        <f t="shared" si="26"/>
        <v>28881.68</v>
      </c>
      <c r="P348">
        <f t="shared" si="27"/>
        <v>30543.919999999998</v>
      </c>
      <c r="Q348">
        <f t="shared" si="28"/>
        <v>1662.239999999998</v>
      </c>
      <c r="R348">
        <f t="shared" si="29"/>
        <v>5.4421305451297606</v>
      </c>
    </row>
    <row r="349" spans="1:18" x14ac:dyDescent="0.35">
      <c r="A349">
        <v>1008</v>
      </c>
      <c r="B349" s="1">
        <v>45091</v>
      </c>
      <c r="C349" t="s">
        <v>32</v>
      </c>
      <c r="D349" t="s">
        <v>15</v>
      </c>
      <c r="E349">
        <v>1403.98</v>
      </c>
      <c r="F349">
        <v>24</v>
      </c>
      <c r="G349" t="s">
        <v>26</v>
      </c>
      <c r="H349">
        <v>1394.17</v>
      </c>
      <c r="I349">
        <v>1891.02</v>
      </c>
      <c r="J349" t="s">
        <v>27</v>
      </c>
      <c r="K349">
        <v>0.21</v>
      </c>
      <c r="L349" t="s">
        <v>28</v>
      </c>
      <c r="M349" t="s">
        <v>19</v>
      </c>
      <c r="N349" t="str">
        <f t="shared" si="25"/>
        <v>North-Eve</v>
      </c>
      <c r="O349">
        <f t="shared" si="26"/>
        <v>33460.080000000002</v>
      </c>
      <c r="P349">
        <f t="shared" si="27"/>
        <v>45384.479999999996</v>
      </c>
      <c r="Q349">
        <f t="shared" si="28"/>
        <v>11924.399999999994</v>
      </c>
      <c r="R349">
        <f t="shared" si="29"/>
        <v>26.274180072130378</v>
      </c>
    </row>
    <row r="350" spans="1:18" x14ac:dyDescent="0.35">
      <c r="A350">
        <v>1027</v>
      </c>
      <c r="B350" s="1">
        <v>45108</v>
      </c>
      <c r="C350" t="s">
        <v>32</v>
      </c>
      <c r="D350" t="s">
        <v>15</v>
      </c>
      <c r="E350">
        <v>8666.43</v>
      </c>
      <c r="F350">
        <v>15</v>
      </c>
      <c r="G350" t="s">
        <v>26</v>
      </c>
      <c r="H350">
        <v>1615.26</v>
      </c>
      <c r="I350">
        <v>1710.95</v>
      </c>
      <c r="J350" t="s">
        <v>27</v>
      </c>
      <c r="K350">
        <v>0.23</v>
      </c>
      <c r="L350" t="s">
        <v>28</v>
      </c>
      <c r="M350" t="s">
        <v>21</v>
      </c>
      <c r="N350" t="str">
        <f t="shared" si="25"/>
        <v>North-Eve</v>
      </c>
      <c r="O350">
        <f t="shared" si="26"/>
        <v>24228.9</v>
      </c>
      <c r="P350">
        <f t="shared" si="27"/>
        <v>25664.25</v>
      </c>
      <c r="Q350">
        <f t="shared" si="28"/>
        <v>1435.3499999999985</v>
      </c>
      <c r="R350">
        <f t="shared" si="29"/>
        <v>5.5927993220140806</v>
      </c>
    </row>
    <row r="351" spans="1:18" x14ac:dyDescent="0.35">
      <c r="A351">
        <v>1027</v>
      </c>
      <c r="B351" s="1">
        <v>45149</v>
      </c>
      <c r="C351" t="s">
        <v>32</v>
      </c>
      <c r="D351" t="s">
        <v>15</v>
      </c>
      <c r="E351">
        <v>1657</v>
      </c>
      <c r="F351">
        <v>43</v>
      </c>
      <c r="G351" t="s">
        <v>26</v>
      </c>
      <c r="H351">
        <v>4232.6099999999997</v>
      </c>
      <c r="I351">
        <v>4572.21</v>
      </c>
      <c r="J351" t="s">
        <v>27</v>
      </c>
      <c r="K351">
        <v>0.01</v>
      </c>
      <c r="L351" t="s">
        <v>18</v>
      </c>
      <c r="M351" t="s">
        <v>21</v>
      </c>
      <c r="N351" t="str">
        <f t="shared" si="25"/>
        <v>North-Eve</v>
      </c>
      <c r="O351">
        <f t="shared" si="26"/>
        <v>182002.22999999998</v>
      </c>
      <c r="P351">
        <f t="shared" si="27"/>
        <v>196605.03</v>
      </c>
      <c r="Q351">
        <f t="shared" si="28"/>
        <v>14602.800000000017</v>
      </c>
      <c r="R351">
        <f t="shared" si="29"/>
        <v>7.4274803650751036</v>
      </c>
    </row>
    <row r="352" spans="1:18" x14ac:dyDescent="0.35">
      <c r="A352">
        <v>1098</v>
      </c>
      <c r="B352" s="1">
        <v>45237</v>
      </c>
      <c r="C352" t="s">
        <v>33</v>
      </c>
      <c r="D352" t="s">
        <v>20</v>
      </c>
      <c r="E352">
        <v>3166.9</v>
      </c>
      <c r="F352">
        <v>31</v>
      </c>
      <c r="G352" t="s">
        <v>24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21</v>
      </c>
      <c r="N352" t="str">
        <f t="shared" si="25"/>
        <v>West-Alice</v>
      </c>
      <c r="O352">
        <f t="shared" si="26"/>
        <v>74641.8</v>
      </c>
      <c r="P352">
        <f t="shared" si="27"/>
        <v>77585.560000000012</v>
      </c>
      <c r="Q352">
        <f t="shared" si="28"/>
        <v>2943.7600000000093</v>
      </c>
      <c r="R352">
        <f t="shared" si="29"/>
        <v>3.794211190845318</v>
      </c>
    </row>
    <row r="353" spans="1:18" x14ac:dyDescent="0.3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27</v>
      </c>
      <c r="K353">
        <v>0.17</v>
      </c>
      <c r="L353" t="s">
        <v>25</v>
      </c>
      <c r="M353" t="s">
        <v>19</v>
      </c>
      <c r="N353" t="str">
        <f t="shared" si="25"/>
        <v>North-Bob</v>
      </c>
      <c r="O353">
        <f t="shared" si="26"/>
        <v>30287.52</v>
      </c>
      <c r="P353">
        <f t="shared" si="27"/>
        <v>33573.869999999995</v>
      </c>
      <c r="Q353">
        <f t="shared" si="28"/>
        <v>3286.3499999999949</v>
      </c>
      <c r="R353">
        <f t="shared" si="29"/>
        <v>9.7884158126542911</v>
      </c>
    </row>
    <row r="354" spans="1:18" x14ac:dyDescent="0.35">
      <c r="A354">
        <v>1030</v>
      </c>
      <c r="B354" s="1">
        <v>45256</v>
      </c>
      <c r="C354" t="s">
        <v>33</v>
      </c>
      <c r="D354" t="s">
        <v>20</v>
      </c>
      <c r="E354">
        <v>8727</v>
      </c>
      <c r="F354">
        <v>39</v>
      </c>
      <c r="G354" t="s">
        <v>31</v>
      </c>
      <c r="H354">
        <v>2041.75</v>
      </c>
      <c r="I354">
        <v>2299.37</v>
      </c>
      <c r="J354" t="s">
        <v>17</v>
      </c>
      <c r="K354">
        <v>0.24</v>
      </c>
      <c r="L354" t="s">
        <v>25</v>
      </c>
      <c r="M354" t="s">
        <v>21</v>
      </c>
      <c r="N354" t="str">
        <f t="shared" si="25"/>
        <v>West-Alice</v>
      </c>
      <c r="O354">
        <f t="shared" si="26"/>
        <v>79628.25</v>
      </c>
      <c r="P354">
        <f t="shared" si="27"/>
        <v>89675.43</v>
      </c>
      <c r="Q354">
        <f t="shared" si="28"/>
        <v>10047.179999999993</v>
      </c>
      <c r="R354">
        <f t="shared" si="29"/>
        <v>11.203938470102672</v>
      </c>
    </row>
    <row r="355" spans="1:18" x14ac:dyDescent="0.35">
      <c r="A355">
        <v>1097</v>
      </c>
      <c r="B355" s="1">
        <v>45189</v>
      </c>
      <c r="C355" t="s">
        <v>22</v>
      </c>
      <c r="D355" t="s">
        <v>15</v>
      </c>
      <c r="E355">
        <v>6759.76</v>
      </c>
      <c r="F355">
        <v>45</v>
      </c>
      <c r="G355" t="s">
        <v>26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21</v>
      </c>
      <c r="N355" t="str">
        <f t="shared" si="25"/>
        <v>North-David</v>
      </c>
      <c r="O355">
        <f t="shared" si="26"/>
        <v>68630.850000000006</v>
      </c>
      <c r="P355">
        <f t="shared" si="27"/>
        <v>84074.4</v>
      </c>
      <c r="Q355">
        <f t="shared" si="28"/>
        <v>15443.549999999988</v>
      </c>
      <c r="R355">
        <f t="shared" si="29"/>
        <v>18.368908966344083</v>
      </c>
    </row>
    <row r="356" spans="1:18" x14ac:dyDescent="0.35">
      <c r="A356">
        <v>1028</v>
      </c>
      <c r="B356" s="1">
        <v>45087</v>
      </c>
      <c r="C356" t="s">
        <v>33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25</v>
      </c>
      <c r="M356" t="s">
        <v>19</v>
      </c>
      <c r="N356" t="str">
        <f t="shared" si="25"/>
        <v>North-Alice</v>
      </c>
      <c r="O356">
        <f t="shared" si="26"/>
        <v>6292.24</v>
      </c>
      <c r="P356">
        <f t="shared" si="27"/>
        <v>6511.0599999999804</v>
      </c>
      <c r="Q356">
        <f t="shared" si="28"/>
        <v>218.81999999998061</v>
      </c>
      <c r="R356">
        <f t="shared" si="29"/>
        <v>3.3607431048090679</v>
      </c>
    </row>
    <row r="357" spans="1:18" x14ac:dyDescent="0.35">
      <c r="A357">
        <v>1064</v>
      </c>
      <c r="B357" s="1">
        <v>45077</v>
      </c>
      <c r="C357" t="s">
        <v>22</v>
      </c>
      <c r="D357" t="s">
        <v>23</v>
      </c>
      <c r="E357">
        <v>2579.63</v>
      </c>
      <c r="F357">
        <v>8</v>
      </c>
      <c r="G357" t="s">
        <v>26</v>
      </c>
      <c r="H357">
        <v>816.54</v>
      </c>
      <c r="I357">
        <v>1191.9000000000001</v>
      </c>
      <c r="J357" t="s">
        <v>27</v>
      </c>
      <c r="K357">
        <v>0.03</v>
      </c>
      <c r="L357" t="s">
        <v>18</v>
      </c>
      <c r="M357" t="s">
        <v>21</v>
      </c>
      <c r="N357" t="str">
        <f t="shared" si="25"/>
        <v>South-David</v>
      </c>
      <c r="O357">
        <f t="shared" si="26"/>
        <v>6532.32</v>
      </c>
      <c r="P357">
        <f t="shared" si="27"/>
        <v>9535.2000000000007</v>
      </c>
      <c r="Q357">
        <f t="shared" si="28"/>
        <v>3002.880000000001</v>
      </c>
      <c r="R357">
        <f t="shared" si="29"/>
        <v>31.492574880442998</v>
      </c>
    </row>
    <row r="358" spans="1:18" x14ac:dyDescent="0.35">
      <c r="A358">
        <v>1097</v>
      </c>
      <c r="B358" s="1">
        <v>45011</v>
      </c>
      <c r="C358" t="s">
        <v>22</v>
      </c>
      <c r="D358" t="s">
        <v>30</v>
      </c>
      <c r="E358">
        <v>6286.25</v>
      </c>
      <c r="F358">
        <v>7</v>
      </c>
      <c r="G358" t="s">
        <v>26</v>
      </c>
      <c r="H358">
        <v>1896.35</v>
      </c>
      <c r="I358">
        <v>2394.1999999999998</v>
      </c>
      <c r="J358" t="s">
        <v>27</v>
      </c>
      <c r="K358">
        <v>0.22</v>
      </c>
      <c r="L358" t="s">
        <v>25</v>
      </c>
      <c r="M358" t="s">
        <v>19</v>
      </c>
      <c r="N358" t="str">
        <f t="shared" si="25"/>
        <v>East-David</v>
      </c>
      <c r="O358">
        <f t="shared" si="26"/>
        <v>13274.449999999999</v>
      </c>
      <c r="P358">
        <f t="shared" si="27"/>
        <v>16759.399999999998</v>
      </c>
      <c r="Q358">
        <f t="shared" si="28"/>
        <v>3484.9499999999989</v>
      </c>
      <c r="R358">
        <f t="shared" si="29"/>
        <v>20.794002171915459</v>
      </c>
    </row>
    <row r="359" spans="1:18" x14ac:dyDescent="0.35">
      <c r="A359">
        <v>1069</v>
      </c>
      <c r="B359" s="1">
        <v>45073</v>
      </c>
      <c r="C359" t="s">
        <v>29</v>
      </c>
      <c r="D359" t="s">
        <v>20</v>
      </c>
      <c r="E359">
        <v>5760.29</v>
      </c>
      <c r="F359">
        <v>44</v>
      </c>
      <c r="G359" t="s">
        <v>31</v>
      </c>
      <c r="H359">
        <v>1084.73</v>
      </c>
      <c r="I359">
        <v>1420.9</v>
      </c>
      <c r="J359" t="s">
        <v>17</v>
      </c>
      <c r="K359">
        <v>0.05</v>
      </c>
      <c r="L359" t="s">
        <v>28</v>
      </c>
      <c r="M359" t="s">
        <v>19</v>
      </c>
      <c r="N359" t="str">
        <f t="shared" si="25"/>
        <v>West-Charlie</v>
      </c>
      <c r="O359">
        <f t="shared" si="26"/>
        <v>47728.12</v>
      </c>
      <c r="P359">
        <f t="shared" si="27"/>
        <v>62519.600000000006</v>
      </c>
      <c r="Q359">
        <f t="shared" si="28"/>
        <v>14791.480000000003</v>
      </c>
      <c r="R359">
        <f t="shared" si="29"/>
        <v>23.658948553733552</v>
      </c>
    </row>
    <row r="360" spans="1:18" x14ac:dyDescent="0.35">
      <c r="A360">
        <v>1061</v>
      </c>
      <c r="B360" s="1">
        <v>45038</v>
      </c>
      <c r="C360" t="s">
        <v>32</v>
      </c>
      <c r="D360" t="s">
        <v>23</v>
      </c>
      <c r="E360">
        <v>8345.02</v>
      </c>
      <c r="F360">
        <v>39</v>
      </c>
      <c r="G360" t="s">
        <v>31</v>
      </c>
      <c r="H360">
        <v>3494.19</v>
      </c>
      <c r="I360">
        <v>3746</v>
      </c>
      <c r="J360" t="s">
        <v>17</v>
      </c>
      <c r="K360">
        <v>0.25</v>
      </c>
      <c r="L360" t="s">
        <v>25</v>
      </c>
      <c r="M360" t="s">
        <v>21</v>
      </c>
      <c r="N360" t="str">
        <f t="shared" si="25"/>
        <v>South-Eve</v>
      </c>
      <c r="O360">
        <f t="shared" si="26"/>
        <v>136273.41</v>
      </c>
      <c r="P360">
        <f t="shared" si="27"/>
        <v>146094</v>
      </c>
      <c r="Q360">
        <f t="shared" si="28"/>
        <v>9820.5899999999965</v>
      </c>
      <c r="R360">
        <f t="shared" si="29"/>
        <v>6.7221035771489568</v>
      </c>
    </row>
    <row r="361" spans="1:18" x14ac:dyDescent="0.35">
      <c r="A361">
        <v>1048</v>
      </c>
      <c r="B361" s="1">
        <v>44962</v>
      </c>
      <c r="C361" t="s">
        <v>22</v>
      </c>
      <c r="D361" t="s">
        <v>15</v>
      </c>
      <c r="E361">
        <v>9070.26</v>
      </c>
      <c r="F361">
        <v>42</v>
      </c>
      <c r="G361" t="s">
        <v>31</v>
      </c>
      <c r="H361">
        <v>4723.83</v>
      </c>
      <c r="I361">
        <v>5186.1899999999996</v>
      </c>
      <c r="J361" t="s">
        <v>17</v>
      </c>
      <c r="K361">
        <v>0.22</v>
      </c>
      <c r="L361" t="s">
        <v>28</v>
      </c>
      <c r="M361" t="s">
        <v>19</v>
      </c>
      <c r="N361" t="str">
        <f t="shared" si="25"/>
        <v>North-David</v>
      </c>
      <c r="O361">
        <f t="shared" si="26"/>
        <v>198400.86</v>
      </c>
      <c r="P361">
        <f t="shared" si="27"/>
        <v>217819.97999999998</v>
      </c>
      <c r="Q361">
        <f t="shared" si="28"/>
        <v>19419.119999999995</v>
      </c>
      <c r="R361">
        <f t="shared" si="29"/>
        <v>8.9152152157942517</v>
      </c>
    </row>
    <row r="362" spans="1:18" x14ac:dyDescent="0.35">
      <c r="A362">
        <v>1019</v>
      </c>
      <c r="B362" s="1">
        <v>45211</v>
      </c>
      <c r="C362" t="s">
        <v>29</v>
      </c>
      <c r="D362" t="s">
        <v>20</v>
      </c>
      <c r="E362">
        <v>220.35</v>
      </c>
      <c r="F362">
        <v>16</v>
      </c>
      <c r="G362" t="s">
        <v>26</v>
      </c>
      <c r="H362">
        <v>4977.78</v>
      </c>
      <c r="I362">
        <v>4995.55</v>
      </c>
      <c r="J362" t="s">
        <v>27</v>
      </c>
      <c r="K362">
        <v>0.25</v>
      </c>
      <c r="L362" t="s">
        <v>28</v>
      </c>
      <c r="M362" t="s">
        <v>19</v>
      </c>
      <c r="N362" t="str">
        <f t="shared" si="25"/>
        <v>West-Charlie</v>
      </c>
      <c r="O362">
        <f t="shared" si="26"/>
        <v>79644.479999999996</v>
      </c>
      <c r="P362">
        <f t="shared" si="27"/>
        <v>79928.800000000003</v>
      </c>
      <c r="Q362">
        <f t="shared" si="28"/>
        <v>284.32000000000698</v>
      </c>
      <c r="R362">
        <f t="shared" si="29"/>
        <v>0.35571658776311788</v>
      </c>
    </row>
    <row r="363" spans="1:18" x14ac:dyDescent="0.35">
      <c r="A363">
        <v>1004</v>
      </c>
      <c r="B363" s="1">
        <v>45114</v>
      </c>
      <c r="C363" t="s">
        <v>32</v>
      </c>
      <c r="D363" t="s">
        <v>15</v>
      </c>
      <c r="E363">
        <v>6772.8</v>
      </c>
      <c r="F363">
        <v>35</v>
      </c>
      <c r="G363" t="s">
        <v>26</v>
      </c>
      <c r="H363">
        <v>2278.87</v>
      </c>
      <c r="I363">
        <v>2646.5299999999902</v>
      </c>
      <c r="J363" t="s">
        <v>17</v>
      </c>
      <c r="K363">
        <v>0.09</v>
      </c>
      <c r="L363" t="s">
        <v>25</v>
      </c>
      <c r="M363" t="s">
        <v>19</v>
      </c>
      <c r="N363" t="str">
        <f t="shared" si="25"/>
        <v>North-Eve</v>
      </c>
      <c r="O363">
        <f t="shared" si="26"/>
        <v>79760.45</v>
      </c>
      <c r="P363">
        <f t="shared" si="27"/>
        <v>92628.549999999654</v>
      </c>
      <c r="Q363">
        <f t="shared" si="28"/>
        <v>12868.099999999657</v>
      </c>
      <c r="R363">
        <f t="shared" si="29"/>
        <v>13.892153121256573</v>
      </c>
    </row>
    <row r="364" spans="1:18" x14ac:dyDescent="0.35">
      <c r="A364">
        <v>1035</v>
      </c>
      <c r="B364" s="1">
        <v>45008</v>
      </c>
      <c r="C364" t="s">
        <v>22</v>
      </c>
      <c r="D364" t="s">
        <v>30</v>
      </c>
      <c r="E364">
        <v>613.16999999999996</v>
      </c>
      <c r="F364">
        <v>30</v>
      </c>
      <c r="G364" t="s">
        <v>26</v>
      </c>
      <c r="H364">
        <v>1300.03</v>
      </c>
      <c r="I364">
        <v>1745.52</v>
      </c>
      <c r="J364" t="s">
        <v>27</v>
      </c>
      <c r="K364">
        <v>0.09</v>
      </c>
      <c r="L364" t="s">
        <v>18</v>
      </c>
      <c r="M364" t="s">
        <v>21</v>
      </c>
      <c r="N364" t="str">
        <f t="shared" si="25"/>
        <v>East-David</v>
      </c>
      <c r="O364">
        <f t="shared" si="26"/>
        <v>39000.9</v>
      </c>
      <c r="P364">
        <f t="shared" si="27"/>
        <v>52365.599999999999</v>
      </c>
      <c r="Q364">
        <f t="shared" si="28"/>
        <v>13364.699999999997</v>
      </c>
      <c r="R364">
        <f t="shared" si="29"/>
        <v>25.521907511801633</v>
      </c>
    </row>
    <row r="365" spans="1:18" x14ac:dyDescent="0.35">
      <c r="A365">
        <v>1064</v>
      </c>
      <c r="B365" s="1">
        <v>44928</v>
      </c>
      <c r="C365" t="s">
        <v>22</v>
      </c>
      <c r="D365" t="s">
        <v>23</v>
      </c>
      <c r="E365">
        <v>5533.7</v>
      </c>
      <c r="F365">
        <v>10</v>
      </c>
      <c r="G365" t="s">
        <v>31</v>
      </c>
      <c r="H365">
        <v>2242.0100000000002</v>
      </c>
      <c r="I365">
        <v>2282.23</v>
      </c>
      <c r="J365" t="s">
        <v>17</v>
      </c>
      <c r="K365">
        <v>0.2</v>
      </c>
      <c r="L365" t="s">
        <v>28</v>
      </c>
      <c r="M365" t="s">
        <v>19</v>
      </c>
      <c r="N365" t="str">
        <f t="shared" si="25"/>
        <v>South-David</v>
      </c>
      <c r="O365">
        <f t="shared" si="26"/>
        <v>22420.100000000002</v>
      </c>
      <c r="P365">
        <f t="shared" si="27"/>
        <v>22822.3</v>
      </c>
      <c r="Q365">
        <f t="shared" si="28"/>
        <v>402.19999999999709</v>
      </c>
      <c r="R365">
        <f t="shared" si="29"/>
        <v>1.7623114234761488</v>
      </c>
    </row>
    <row r="366" spans="1:18" x14ac:dyDescent="0.35">
      <c r="A366">
        <v>1049</v>
      </c>
      <c r="B366" s="1">
        <v>45229</v>
      </c>
      <c r="C366" t="s">
        <v>33</v>
      </c>
      <c r="D366" t="s">
        <v>30</v>
      </c>
      <c r="E366">
        <v>2947.56</v>
      </c>
      <c r="F366">
        <v>38</v>
      </c>
      <c r="G366" t="s">
        <v>24</v>
      </c>
      <c r="H366">
        <v>4243.9799999999996</v>
      </c>
      <c r="I366">
        <v>4474.5099999999902</v>
      </c>
      <c r="J366" t="s">
        <v>27</v>
      </c>
      <c r="K366">
        <v>0.01</v>
      </c>
      <c r="L366" t="s">
        <v>28</v>
      </c>
      <c r="M366" t="s">
        <v>19</v>
      </c>
      <c r="N366" t="str">
        <f t="shared" si="25"/>
        <v>East-Alice</v>
      </c>
      <c r="O366">
        <f t="shared" si="26"/>
        <v>161271.24</v>
      </c>
      <c r="P366">
        <f t="shared" si="27"/>
        <v>170031.37999999963</v>
      </c>
      <c r="Q366">
        <f t="shared" si="28"/>
        <v>8760.1399999996356</v>
      </c>
      <c r="R366">
        <f t="shared" si="29"/>
        <v>5.1520725174374604</v>
      </c>
    </row>
    <row r="367" spans="1:18" x14ac:dyDescent="0.35">
      <c r="A367">
        <v>1017</v>
      </c>
      <c r="B367" s="1">
        <v>45123</v>
      </c>
      <c r="C367" t="s">
        <v>33</v>
      </c>
      <c r="D367" t="s">
        <v>23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25</v>
      </c>
      <c r="M367" t="s">
        <v>19</v>
      </c>
      <c r="N367" t="str">
        <f t="shared" si="25"/>
        <v>South-Alice</v>
      </c>
      <c r="O367">
        <f t="shared" si="26"/>
        <v>19255.14</v>
      </c>
      <c r="P367">
        <f t="shared" si="27"/>
        <v>21240.720000000001</v>
      </c>
      <c r="Q367">
        <f t="shared" si="28"/>
        <v>1985.5800000000017</v>
      </c>
      <c r="R367">
        <f t="shared" si="29"/>
        <v>9.3479882037897095</v>
      </c>
    </row>
    <row r="368" spans="1:18" x14ac:dyDescent="0.35">
      <c r="A368">
        <v>1044</v>
      </c>
      <c r="B368" s="1">
        <v>44937</v>
      </c>
      <c r="C368" t="s">
        <v>32</v>
      </c>
      <c r="D368" t="s">
        <v>15</v>
      </c>
      <c r="E368">
        <v>3594.29</v>
      </c>
      <c r="F368">
        <v>5</v>
      </c>
      <c r="G368" t="s">
        <v>24</v>
      </c>
      <c r="H368">
        <v>4762.87</v>
      </c>
      <c r="I368">
        <v>5050.46</v>
      </c>
      <c r="J368" t="s">
        <v>27</v>
      </c>
      <c r="K368">
        <v>0.25</v>
      </c>
      <c r="L368" t="s">
        <v>18</v>
      </c>
      <c r="M368" t="s">
        <v>21</v>
      </c>
      <c r="N368" t="str">
        <f t="shared" si="25"/>
        <v>North-Eve</v>
      </c>
      <c r="O368">
        <f t="shared" si="26"/>
        <v>23814.35</v>
      </c>
      <c r="P368">
        <f t="shared" si="27"/>
        <v>25252.3</v>
      </c>
      <c r="Q368">
        <f t="shared" si="28"/>
        <v>1437.9500000000007</v>
      </c>
      <c r="R368">
        <f t="shared" si="29"/>
        <v>5.6943327934485204</v>
      </c>
    </row>
    <row r="369" spans="1:18" x14ac:dyDescent="0.35">
      <c r="A369">
        <v>1092</v>
      </c>
      <c r="B369" s="1">
        <v>45160</v>
      </c>
      <c r="C369" t="s">
        <v>22</v>
      </c>
      <c r="D369" t="s">
        <v>30</v>
      </c>
      <c r="E369">
        <v>6250.8</v>
      </c>
      <c r="F369">
        <v>29</v>
      </c>
      <c r="G369" t="s">
        <v>26</v>
      </c>
      <c r="H369">
        <v>1742.24</v>
      </c>
      <c r="I369">
        <v>2070.52</v>
      </c>
      <c r="J369" t="s">
        <v>27</v>
      </c>
      <c r="K369">
        <v>0.12</v>
      </c>
      <c r="L369" t="s">
        <v>18</v>
      </c>
      <c r="M369" t="s">
        <v>19</v>
      </c>
      <c r="N369" t="str">
        <f t="shared" si="25"/>
        <v>East-David</v>
      </c>
      <c r="O369">
        <f t="shared" si="26"/>
        <v>50524.959999999999</v>
      </c>
      <c r="P369">
        <f t="shared" si="27"/>
        <v>60045.08</v>
      </c>
      <c r="Q369">
        <f t="shared" si="28"/>
        <v>9520.1200000000026</v>
      </c>
      <c r="R369">
        <f t="shared" si="29"/>
        <v>15.854954310994342</v>
      </c>
    </row>
    <row r="370" spans="1:18" x14ac:dyDescent="0.35">
      <c r="A370">
        <v>1030</v>
      </c>
      <c r="B370" s="1">
        <v>45121</v>
      </c>
      <c r="C370" t="s">
        <v>14</v>
      </c>
      <c r="D370" t="s">
        <v>30</v>
      </c>
      <c r="E370">
        <v>3407.09</v>
      </c>
      <c r="F370">
        <v>39</v>
      </c>
      <c r="G370" t="s">
        <v>26</v>
      </c>
      <c r="H370">
        <v>4929.7299999999996</v>
      </c>
      <c r="I370">
        <v>5088.0199999999904</v>
      </c>
      <c r="J370" t="s">
        <v>27</v>
      </c>
      <c r="K370">
        <v>0.23</v>
      </c>
      <c r="L370" t="s">
        <v>25</v>
      </c>
      <c r="M370" t="s">
        <v>21</v>
      </c>
      <c r="N370" t="str">
        <f t="shared" si="25"/>
        <v>East-Bob</v>
      </c>
      <c r="O370">
        <f t="shared" si="26"/>
        <v>192259.46999999997</v>
      </c>
      <c r="P370">
        <f t="shared" si="27"/>
        <v>198432.77999999962</v>
      </c>
      <c r="Q370">
        <f t="shared" si="28"/>
        <v>6173.3099999996484</v>
      </c>
      <c r="R370">
        <f t="shared" si="29"/>
        <v>3.1110333685793545</v>
      </c>
    </row>
    <row r="371" spans="1:18" x14ac:dyDescent="0.35">
      <c r="A371">
        <v>1093</v>
      </c>
      <c r="B371" s="1">
        <v>45045</v>
      </c>
      <c r="C371" t="s">
        <v>33</v>
      </c>
      <c r="D371" t="s">
        <v>15</v>
      </c>
      <c r="E371">
        <v>7353.72</v>
      </c>
      <c r="F371">
        <v>34</v>
      </c>
      <c r="G371" t="s">
        <v>24</v>
      </c>
      <c r="H371">
        <v>4201.1099999999997</v>
      </c>
      <c r="I371">
        <v>4436.5</v>
      </c>
      <c r="J371" t="s">
        <v>27</v>
      </c>
      <c r="K371">
        <v>0.05</v>
      </c>
      <c r="L371" t="s">
        <v>18</v>
      </c>
      <c r="M371" t="s">
        <v>19</v>
      </c>
      <c r="N371" t="str">
        <f t="shared" si="25"/>
        <v>North-Alice</v>
      </c>
      <c r="O371">
        <f t="shared" si="26"/>
        <v>142837.74</v>
      </c>
      <c r="P371">
        <f t="shared" si="27"/>
        <v>150841</v>
      </c>
      <c r="Q371">
        <f t="shared" si="28"/>
        <v>8003.2600000000093</v>
      </c>
      <c r="R371">
        <f t="shared" si="29"/>
        <v>5.3057590442916771</v>
      </c>
    </row>
    <row r="372" spans="1:18" x14ac:dyDescent="0.35">
      <c r="A372">
        <v>1046</v>
      </c>
      <c r="B372" s="1">
        <v>44946</v>
      </c>
      <c r="C372" t="s">
        <v>32</v>
      </c>
      <c r="D372" t="s">
        <v>30</v>
      </c>
      <c r="E372">
        <v>4104.82</v>
      </c>
      <c r="F372">
        <v>43</v>
      </c>
      <c r="G372" t="s">
        <v>26</v>
      </c>
      <c r="H372">
        <v>4052.42</v>
      </c>
      <c r="I372">
        <v>4199.3</v>
      </c>
      <c r="J372" t="s">
        <v>27</v>
      </c>
      <c r="K372">
        <v>0.1</v>
      </c>
      <c r="L372" t="s">
        <v>25</v>
      </c>
      <c r="M372" t="s">
        <v>21</v>
      </c>
      <c r="N372" t="str">
        <f t="shared" si="25"/>
        <v>East-Eve</v>
      </c>
      <c r="O372">
        <f t="shared" si="26"/>
        <v>174254.06</v>
      </c>
      <c r="P372">
        <f t="shared" si="27"/>
        <v>180569.9</v>
      </c>
      <c r="Q372">
        <f t="shared" si="28"/>
        <v>6315.8399999999965</v>
      </c>
      <c r="R372">
        <f t="shared" si="29"/>
        <v>3.4977258114447629</v>
      </c>
    </row>
    <row r="373" spans="1:18" x14ac:dyDescent="0.35">
      <c r="A373">
        <v>1006</v>
      </c>
      <c r="B373" s="1">
        <v>45187</v>
      </c>
      <c r="C373" t="s">
        <v>22</v>
      </c>
      <c r="D373" t="s">
        <v>20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27</v>
      </c>
      <c r="K373">
        <v>0.28999999999999998</v>
      </c>
      <c r="L373" t="s">
        <v>25</v>
      </c>
      <c r="M373" t="s">
        <v>21</v>
      </c>
      <c r="N373" t="str">
        <f t="shared" si="25"/>
        <v>West-David</v>
      </c>
      <c r="O373">
        <f t="shared" si="26"/>
        <v>73063.350000000006</v>
      </c>
      <c r="P373">
        <f t="shared" si="27"/>
        <v>81658.350000000006</v>
      </c>
      <c r="Q373">
        <f t="shared" si="28"/>
        <v>8595</v>
      </c>
      <c r="R373">
        <f t="shared" si="29"/>
        <v>10.52556168475116</v>
      </c>
    </row>
    <row r="374" spans="1:18" x14ac:dyDescent="0.35">
      <c r="A374">
        <v>1099</v>
      </c>
      <c r="B374" s="1">
        <v>45219</v>
      </c>
      <c r="C374" t="s">
        <v>22</v>
      </c>
      <c r="D374" t="s">
        <v>23</v>
      </c>
      <c r="E374">
        <v>7859.22</v>
      </c>
      <c r="F374">
        <v>23</v>
      </c>
      <c r="G374" t="s">
        <v>26</v>
      </c>
      <c r="H374">
        <v>93.45</v>
      </c>
      <c r="I374">
        <v>181.62</v>
      </c>
      <c r="J374" t="s">
        <v>17</v>
      </c>
      <c r="K374">
        <v>0.3</v>
      </c>
      <c r="L374" t="s">
        <v>25</v>
      </c>
      <c r="M374" t="s">
        <v>21</v>
      </c>
      <c r="N374" t="str">
        <f t="shared" si="25"/>
        <v>South-David</v>
      </c>
      <c r="O374">
        <f t="shared" si="26"/>
        <v>2149.35</v>
      </c>
      <c r="P374">
        <f t="shared" si="27"/>
        <v>4177.26</v>
      </c>
      <c r="Q374">
        <f t="shared" si="28"/>
        <v>2027.9100000000003</v>
      </c>
      <c r="R374">
        <f t="shared" si="29"/>
        <v>48.546415592996375</v>
      </c>
    </row>
    <row r="375" spans="1:18" x14ac:dyDescent="0.35">
      <c r="A375">
        <v>1037</v>
      </c>
      <c r="B375" s="1">
        <v>45182</v>
      </c>
      <c r="C375" t="s">
        <v>14</v>
      </c>
      <c r="D375" t="s">
        <v>23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28</v>
      </c>
      <c r="M375" t="s">
        <v>19</v>
      </c>
      <c r="N375" t="str">
        <f t="shared" si="25"/>
        <v>South-Bob</v>
      </c>
      <c r="O375">
        <f t="shared" si="26"/>
        <v>9707.7999999999993</v>
      </c>
      <c r="P375">
        <f t="shared" si="27"/>
        <v>11927.4</v>
      </c>
      <c r="Q375">
        <f t="shared" si="28"/>
        <v>2219.6000000000004</v>
      </c>
      <c r="R375">
        <f t="shared" si="29"/>
        <v>18.609252645169949</v>
      </c>
    </row>
    <row r="376" spans="1:18" x14ac:dyDescent="0.35">
      <c r="A376">
        <v>1024</v>
      </c>
      <c r="B376" s="1">
        <v>45148</v>
      </c>
      <c r="C376" t="s">
        <v>32</v>
      </c>
      <c r="D376" t="s">
        <v>23</v>
      </c>
      <c r="E376">
        <v>4384.3900000000003</v>
      </c>
      <c r="F376">
        <v>30</v>
      </c>
      <c r="G376" t="s">
        <v>24</v>
      </c>
      <c r="H376">
        <v>1543.96</v>
      </c>
      <c r="I376">
        <v>1558.87</v>
      </c>
      <c r="J376" t="s">
        <v>17</v>
      </c>
      <c r="K376">
        <v>0.28000000000000003</v>
      </c>
      <c r="L376" t="s">
        <v>28</v>
      </c>
      <c r="M376" t="s">
        <v>19</v>
      </c>
      <c r="N376" t="str">
        <f t="shared" si="25"/>
        <v>South-Eve</v>
      </c>
      <c r="O376">
        <f t="shared" si="26"/>
        <v>46318.8</v>
      </c>
      <c r="P376">
        <f t="shared" si="27"/>
        <v>46766.1</v>
      </c>
      <c r="Q376">
        <f t="shared" si="28"/>
        <v>447.29999999999563</v>
      </c>
      <c r="R376">
        <f t="shared" si="29"/>
        <v>0.95646205264068551</v>
      </c>
    </row>
    <row r="377" spans="1:18" x14ac:dyDescent="0.35">
      <c r="A377">
        <v>1093</v>
      </c>
      <c r="B377" s="1">
        <v>45152</v>
      </c>
      <c r="C377" t="s">
        <v>22</v>
      </c>
      <c r="D377" t="s">
        <v>20</v>
      </c>
      <c r="E377">
        <v>6885.89</v>
      </c>
      <c r="F377">
        <v>6</v>
      </c>
      <c r="G377" t="s">
        <v>24</v>
      </c>
      <c r="H377">
        <v>235.12</v>
      </c>
      <c r="I377">
        <v>677.5</v>
      </c>
      <c r="J377" t="s">
        <v>17</v>
      </c>
      <c r="K377">
        <v>0.16</v>
      </c>
      <c r="L377" t="s">
        <v>28</v>
      </c>
      <c r="M377" t="s">
        <v>19</v>
      </c>
      <c r="N377" t="str">
        <f t="shared" si="25"/>
        <v>West-David</v>
      </c>
      <c r="O377">
        <f t="shared" si="26"/>
        <v>1410.72</v>
      </c>
      <c r="P377">
        <f t="shared" si="27"/>
        <v>4065</v>
      </c>
      <c r="Q377">
        <f t="shared" si="28"/>
        <v>2654.2799999999997</v>
      </c>
      <c r="R377">
        <f t="shared" si="29"/>
        <v>65.295940959409592</v>
      </c>
    </row>
    <row r="378" spans="1:18" x14ac:dyDescent="0.35">
      <c r="A378">
        <v>1046</v>
      </c>
      <c r="B378" s="1">
        <v>44979</v>
      </c>
      <c r="C378" t="s">
        <v>33</v>
      </c>
      <c r="D378" t="s">
        <v>23</v>
      </c>
      <c r="E378">
        <v>3391.32</v>
      </c>
      <c r="F378">
        <v>46</v>
      </c>
      <c r="G378" t="s">
        <v>26</v>
      </c>
      <c r="H378">
        <v>2551.56</v>
      </c>
      <c r="I378">
        <v>2841.68</v>
      </c>
      <c r="J378" t="s">
        <v>27</v>
      </c>
      <c r="K378">
        <v>0.09</v>
      </c>
      <c r="L378" t="s">
        <v>25</v>
      </c>
      <c r="M378" t="s">
        <v>21</v>
      </c>
      <c r="N378" t="str">
        <f t="shared" si="25"/>
        <v>South-Alice</v>
      </c>
      <c r="O378">
        <f t="shared" si="26"/>
        <v>117371.76</v>
      </c>
      <c r="P378">
        <f t="shared" si="27"/>
        <v>130717.28</v>
      </c>
      <c r="Q378">
        <f t="shared" si="28"/>
        <v>13345.520000000004</v>
      </c>
      <c r="R378">
        <f t="shared" si="29"/>
        <v>10.209453562681233</v>
      </c>
    </row>
    <row r="379" spans="1:18" x14ac:dyDescent="0.3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28</v>
      </c>
      <c r="M379" t="s">
        <v>19</v>
      </c>
      <c r="N379" t="str">
        <f t="shared" si="25"/>
        <v>North-Bob</v>
      </c>
      <c r="O379">
        <f t="shared" si="26"/>
        <v>89980</v>
      </c>
      <c r="P379">
        <f t="shared" si="27"/>
        <v>97570.44</v>
      </c>
      <c r="Q379">
        <f t="shared" si="28"/>
        <v>7590.4400000000023</v>
      </c>
      <c r="R379">
        <f t="shared" si="29"/>
        <v>7.779446315912895</v>
      </c>
    </row>
    <row r="380" spans="1:18" x14ac:dyDescent="0.35">
      <c r="A380">
        <v>1095</v>
      </c>
      <c r="B380" s="1">
        <v>45268</v>
      </c>
      <c r="C380" t="s">
        <v>32</v>
      </c>
      <c r="D380" t="s">
        <v>30</v>
      </c>
      <c r="E380">
        <v>3801.82</v>
      </c>
      <c r="F380">
        <v>4</v>
      </c>
      <c r="G380" t="s">
        <v>26</v>
      </c>
      <c r="H380">
        <v>3191.05</v>
      </c>
      <c r="I380">
        <v>3555.35</v>
      </c>
      <c r="J380" t="s">
        <v>27</v>
      </c>
      <c r="K380">
        <v>0.28000000000000003</v>
      </c>
      <c r="L380" t="s">
        <v>28</v>
      </c>
      <c r="M380" t="s">
        <v>19</v>
      </c>
      <c r="N380" t="str">
        <f t="shared" si="25"/>
        <v>East-Eve</v>
      </c>
      <c r="O380">
        <f t="shared" si="26"/>
        <v>12764.2</v>
      </c>
      <c r="P380">
        <f t="shared" si="27"/>
        <v>14221.4</v>
      </c>
      <c r="Q380">
        <f t="shared" si="28"/>
        <v>1457.1999999999989</v>
      </c>
      <c r="R380">
        <f t="shared" si="29"/>
        <v>10.246529877508536</v>
      </c>
    </row>
    <row r="381" spans="1:18" x14ac:dyDescent="0.35">
      <c r="A381">
        <v>1099</v>
      </c>
      <c r="B381" s="1">
        <v>45290</v>
      </c>
      <c r="C381" t="s">
        <v>14</v>
      </c>
      <c r="D381" t="s">
        <v>20</v>
      </c>
      <c r="E381">
        <v>9450.0400000000009</v>
      </c>
      <c r="F381">
        <v>29</v>
      </c>
      <c r="G381" t="s">
        <v>31</v>
      </c>
      <c r="H381">
        <v>3124.87</v>
      </c>
      <c r="I381">
        <v>3383.67</v>
      </c>
      <c r="J381" t="s">
        <v>27</v>
      </c>
      <c r="K381">
        <v>0.05</v>
      </c>
      <c r="L381" t="s">
        <v>28</v>
      </c>
      <c r="M381" t="s">
        <v>21</v>
      </c>
      <c r="N381" t="str">
        <f t="shared" si="25"/>
        <v>West-Bob</v>
      </c>
      <c r="O381">
        <f t="shared" si="26"/>
        <v>90621.23</v>
      </c>
      <c r="P381">
        <f t="shared" si="27"/>
        <v>98126.430000000008</v>
      </c>
      <c r="Q381">
        <f t="shared" si="28"/>
        <v>7505.2000000000116</v>
      </c>
      <c r="R381">
        <f t="shared" si="29"/>
        <v>7.6485000014776965</v>
      </c>
    </row>
    <row r="382" spans="1:18" x14ac:dyDescent="0.35">
      <c r="A382">
        <v>1060</v>
      </c>
      <c r="B382" s="1">
        <v>45206</v>
      </c>
      <c r="C382" t="s">
        <v>33</v>
      </c>
      <c r="D382" t="s">
        <v>23</v>
      </c>
      <c r="E382">
        <v>6453.17</v>
      </c>
      <c r="F382">
        <v>23</v>
      </c>
      <c r="G382" t="s">
        <v>31</v>
      </c>
      <c r="H382">
        <v>647.70000000000005</v>
      </c>
      <c r="I382">
        <v>902.26</v>
      </c>
      <c r="J382" t="s">
        <v>27</v>
      </c>
      <c r="K382">
        <v>0.17</v>
      </c>
      <c r="L382" t="s">
        <v>25</v>
      </c>
      <c r="M382" t="s">
        <v>19</v>
      </c>
      <c r="N382" t="str">
        <f t="shared" si="25"/>
        <v>South-Alice</v>
      </c>
      <c r="O382">
        <f t="shared" si="26"/>
        <v>14897.1</v>
      </c>
      <c r="P382">
        <f t="shared" si="27"/>
        <v>20751.98</v>
      </c>
      <c r="Q382">
        <f t="shared" si="28"/>
        <v>5854.8799999999992</v>
      </c>
      <c r="R382">
        <f t="shared" si="29"/>
        <v>28.213596967614652</v>
      </c>
    </row>
    <row r="383" spans="1:18" x14ac:dyDescent="0.35">
      <c r="A383">
        <v>1097</v>
      </c>
      <c r="B383" s="1">
        <v>45007</v>
      </c>
      <c r="C383" t="s">
        <v>32</v>
      </c>
      <c r="D383" t="s">
        <v>15</v>
      </c>
      <c r="E383">
        <v>6747.64</v>
      </c>
      <c r="F383">
        <v>6</v>
      </c>
      <c r="G383" t="s">
        <v>31</v>
      </c>
      <c r="H383">
        <v>4885.9799999999996</v>
      </c>
      <c r="I383">
        <v>4949.95</v>
      </c>
      <c r="J383" t="s">
        <v>17</v>
      </c>
      <c r="K383">
        <v>0.17</v>
      </c>
      <c r="L383" t="s">
        <v>25</v>
      </c>
      <c r="M383" t="s">
        <v>19</v>
      </c>
      <c r="N383" t="str">
        <f t="shared" si="25"/>
        <v>North-Eve</v>
      </c>
      <c r="O383">
        <f t="shared" si="26"/>
        <v>29315.879999999997</v>
      </c>
      <c r="P383">
        <f t="shared" si="27"/>
        <v>29699.699999999997</v>
      </c>
      <c r="Q383">
        <f t="shared" si="28"/>
        <v>383.81999999999971</v>
      </c>
      <c r="R383">
        <f t="shared" si="29"/>
        <v>1.2923362862251127</v>
      </c>
    </row>
    <row r="384" spans="1:18" x14ac:dyDescent="0.35">
      <c r="A384">
        <v>1063</v>
      </c>
      <c r="B384" s="1">
        <v>45128</v>
      </c>
      <c r="C384" t="s">
        <v>14</v>
      </c>
      <c r="D384" t="s">
        <v>30</v>
      </c>
      <c r="E384">
        <v>6359.59</v>
      </c>
      <c r="F384">
        <v>32</v>
      </c>
      <c r="G384" t="s">
        <v>31</v>
      </c>
      <c r="H384">
        <v>975.31</v>
      </c>
      <c r="I384">
        <v>1176.17</v>
      </c>
      <c r="J384" t="s">
        <v>27</v>
      </c>
      <c r="K384">
        <v>0.22</v>
      </c>
      <c r="L384" t="s">
        <v>25</v>
      </c>
      <c r="M384" t="s">
        <v>21</v>
      </c>
      <c r="N384" t="str">
        <f t="shared" si="25"/>
        <v>East-Bob</v>
      </c>
      <c r="O384">
        <f t="shared" si="26"/>
        <v>31209.919999999998</v>
      </c>
      <c r="P384">
        <f t="shared" si="27"/>
        <v>37637.440000000002</v>
      </c>
      <c r="Q384">
        <f t="shared" si="28"/>
        <v>6427.5200000000041</v>
      </c>
      <c r="R384">
        <f t="shared" si="29"/>
        <v>17.077463291871084</v>
      </c>
    </row>
    <row r="385" spans="1:18" x14ac:dyDescent="0.35">
      <c r="A385">
        <v>1085</v>
      </c>
      <c r="B385" s="1">
        <v>45084</v>
      </c>
      <c r="C385" t="s">
        <v>29</v>
      </c>
      <c r="D385" t="s">
        <v>30</v>
      </c>
      <c r="E385">
        <v>2070.02</v>
      </c>
      <c r="F385">
        <v>42</v>
      </c>
      <c r="G385" t="s">
        <v>26</v>
      </c>
      <c r="H385">
        <v>2254.11</v>
      </c>
      <c r="I385">
        <v>2382.23</v>
      </c>
      <c r="J385" t="s">
        <v>17</v>
      </c>
      <c r="K385">
        <v>0.15</v>
      </c>
      <c r="L385" t="s">
        <v>28</v>
      </c>
      <c r="M385" t="s">
        <v>21</v>
      </c>
      <c r="N385" t="str">
        <f t="shared" si="25"/>
        <v>East-Charlie</v>
      </c>
      <c r="O385">
        <f t="shared" si="26"/>
        <v>94672.62000000001</v>
      </c>
      <c r="P385">
        <f t="shared" si="27"/>
        <v>100053.66</v>
      </c>
      <c r="Q385">
        <f t="shared" si="28"/>
        <v>5381.0399999999936</v>
      </c>
      <c r="R385">
        <f t="shared" si="29"/>
        <v>5.3781540825193135</v>
      </c>
    </row>
    <row r="386" spans="1:18" x14ac:dyDescent="0.35">
      <c r="A386">
        <v>1032</v>
      </c>
      <c r="B386" s="1">
        <v>45046</v>
      </c>
      <c r="C386" t="s">
        <v>33</v>
      </c>
      <c r="D386" t="s">
        <v>20</v>
      </c>
      <c r="E386">
        <v>4241.51</v>
      </c>
      <c r="F386">
        <v>18</v>
      </c>
      <c r="G386" t="s">
        <v>31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tr">
        <f t="shared" si="25"/>
        <v>West-Alice</v>
      </c>
      <c r="O386">
        <f t="shared" si="26"/>
        <v>44391.24</v>
      </c>
      <c r="P386">
        <f t="shared" si="27"/>
        <v>44709.659999999996</v>
      </c>
      <c r="Q386">
        <f t="shared" si="28"/>
        <v>318.41999999999825</v>
      </c>
      <c r="R386">
        <f t="shared" si="29"/>
        <v>0.71219508267340503</v>
      </c>
    </row>
    <row r="387" spans="1:18" x14ac:dyDescent="0.35">
      <c r="A387">
        <v>1087</v>
      </c>
      <c r="B387" s="1">
        <v>44985</v>
      </c>
      <c r="C387" t="s">
        <v>33</v>
      </c>
      <c r="D387" t="s">
        <v>20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28</v>
      </c>
      <c r="M387" t="s">
        <v>21</v>
      </c>
      <c r="N387" t="str">
        <f t="shared" ref="N387:N450" si="30">D387 &amp; "-" &amp; C387</f>
        <v>West-Alice</v>
      </c>
      <c r="O387">
        <f t="shared" ref="O387:O450" si="31">F387*H387</f>
        <v>61119.899999999994</v>
      </c>
      <c r="P387">
        <f t="shared" ref="P387:P450" si="32">F387*I387</f>
        <v>63916.649999999994</v>
      </c>
      <c r="Q387">
        <f t="shared" ref="Q387:Q450" si="33">P387-O387</f>
        <v>2796.75</v>
      </c>
      <c r="R387">
        <f t="shared" ref="R387:R450" si="34">(Q387/P387)*100</f>
        <v>4.375620436928406</v>
      </c>
    </row>
    <row r="388" spans="1:18" x14ac:dyDescent="0.35">
      <c r="A388">
        <v>1033</v>
      </c>
      <c r="B388" s="1">
        <v>45141</v>
      </c>
      <c r="C388" t="s">
        <v>33</v>
      </c>
      <c r="D388" t="s">
        <v>20</v>
      </c>
      <c r="E388">
        <v>1103.5899999999999</v>
      </c>
      <c r="F388">
        <v>40</v>
      </c>
      <c r="G388" t="s">
        <v>24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28</v>
      </c>
      <c r="M388" t="s">
        <v>19</v>
      </c>
      <c r="N388" t="str">
        <f t="shared" si="30"/>
        <v>West-Alice</v>
      </c>
      <c r="O388">
        <f t="shared" si="31"/>
        <v>21647.600000000002</v>
      </c>
      <c r="P388">
        <f t="shared" si="32"/>
        <v>23808</v>
      </c>
      <c r="Q388">
        <f t="shared" si="33"/>
        <v>2160.3999999999978</v>
      </c>
      <c r="R388">
        <f t="shared" si="34"/>
        <v>9.0742607526881631</v>
      </c>
    </row>
    <row r="389" spans="1:18" x14ac:dyDescent="0.35">
      <c r="A389">
        <v>1067</v>
      </c>
      <c r="B389" s="1">
        <v>45054</v>
      </c>
      <c r="C389" t="s">
        <v>29</v>
      </c>
      <c r="D389" t="s">
        <v>15</v>
      </c>
      <c r="E389">
        <v>2850.74</v>
      </c>
      <c r="F389">
        <v>32</v>
      </c>
      <c r="G389" t="s">
        <v>24</v>
      </c>
      <c r="H389">
        <v>2171.79</v>
      </c>
      <c r="I389">
        <v>2307.64</v>
      </c>
      <c r="J389" t="s">
        <v>17</v>
      </c>
      <c r="K389">
        <v>0.22</v>
      </c>
      <c r="L389" t="s">
        <v>25</v>
      </c>
      <c r="M389" t="s">
        <v>19</v>
      </c>
      <c r="N389" t="str">
        <f t="shared" si="30"/>
        <v>North-Charlie</v>
      </c>
      <c r="O389">
        <f t="shared" si="31"/>
        <v>69497.279999999999</v>
      </c>
      <c r="P389">
        <f t="shared" si="32"/>
        <v>73844.479999999996</v>
      </c>
      <c r="Q389">
        <f t="shared" si="33"/>
        <v>4347.1999999999971</v>
      </c>
      <c r="R389">
        <f t="shared" si="34"/>
        <v>5.8869667712468114</v>
      </c>
    </row>
    <row r="390" spans="1:18" x14ac:dyDescent="0.35">
      <c r="A390">
        <v>1018</v>
      </c>
      <c r="B390" s="1">
        <v>45150</v>
      </c>
      <c r="C390" t="s">
        <v>29</v>
      </c>
      <c r="D390" t="s">
        <v>15</v>
      </c>
      <c r="E390">
        <v>2835.56</v>
      </c>
      <c r="F390">
        <v>9</v>
      </c>
      <c r="G390" t="s">
        <v>31</v>
      </c>
      <c r="H390">
        <v>3161.09</v>
      </c>
      <c r="I390">
        <v>3216.42</v>
      </c>
      <c r="J390" t="s">
        <v>27</v>
      </c>
      <c r="K390">
        <v>0.17</v>
      </c>
      <c r="L390" t="s">
        <v>25</v>
      </c>
      <c r="M390" t="s">
        <v>19</v>
      </c>
      <c r="N390" t="str">
        <f t="shared" si="30"/>
        <v>North-Charlie</v>
      </c>
      <c r="O390">
        <f t="shared" si="31"/>
        <v>28449.81</v>
      </c>
      <c r="P390">
        <f t="shared" si="32"/>
        <v>28947.78</v>
      </c>
      <c r="Q390">
        <f t="shared" si="33"/>
        <v>497.96999999999753</v>
      </c>
      <c r="R390">
        <f t="shared" si="34"/>
        <v>1.7202355413782942</v>
      </c>
    </row>
    <row r="391" spans="1:18" x14ac:dyDescent="0.35">
      <c r="A391">
        <v>1025</v>
      </c>
      <c r="B391" s="1">
        <v>45135</v>
      </c>
      <c r="C391" t="s">
        <v>22</v>
      </c>
      <c r="D391" t="s">
        <v>20</v>
      </c>
      <c r="E391">
        <v>4376.99</v>
      </c>
      <c r="F391">
        <v>37</v>
      </c>
      <c r="G391" t="s">
        <v>31</v>
      </c>
      <c r="H391">
        <v>1115.02</v>
      </c>
      <c r="I391">
        <v>1174.48</v>
      </c>
      <c r="J391" t="s">
        <v>27</v>
      </c>
      <c r="K391">
        <v>0.22</v>
      </c>
      <c r="L391" t="s">
        <v>28</v>
      </c>
      <c r="M391" t="s">
        <v>19</v>
      </c>
      <c r="N391" t="str">
        <f t="shared" si="30"/>
        <v>West-David</v>
      </c>
      <c r="O391">
        <f t="shared" si="31"/>
        <v>41255.74</v>
      </c>
      <c r="P391">
        <f t="shared" si="32"/>
        <v>43455.76</v>
      </c>
      <c r="Q391">
        <f t="shared" si="33"/>
        <v>2200.0200000000041</v>
      </c>
      <c r="R391">
        <f t="shared" si="34"/>
        <v>5.0626660309243325</v>
      </c>
    </row>
    <row r="392" spans="1:18" x14ac:dyDescent="0.35">
      <c r="A392">
        <v>1095</v>
      </c>
      <c r="B392" s="1">
        <v>45041</v>
      </c>
      <c r="C392" t="s">
        <v>14</v>
      </c>
      <c r="D392" t="s">
        <v>23</v>
      </c>
      <c r="E392">
        <v>9805.65</v>
      </c>
      <c r="F392">
        <v>10</v>
      </c>
      <c r="G392" t="s">
        <v>31</v>
      </c>
      <c r="H392">
        <v>3155.97</v>
      </c>
      <c r="I392">
        <v>3263.49</v>
      </c>
      <c r="J392" t="s">
        <v>17</v>
      </c>
      <c r="K392">
        <v>0.04</v>
      </c>
      <c r="L392" t="s">
        <v>28</v>
      </c>
      <c r="M392" t="s">
        <v>19</v>
      </c>
      <c r="N392" t="str">
        <f t="shared" si="30"/>
        <v>South-Bob</v>
      </c>
      <c r="O392">
        <f t="shared" si="31"/>
        <v>31559.699999999997</v>
      </c>
      <c r="P392">
        <f t="shared" si="32"/>
        <v>32634.899999999998</v>
      </c>
      <c r="Q392">
        <f t="shared" si="33"/>
        <v>1075.2000000000007</v>
      </c>
      <c r="R392">
        <f t="shared" si="34"/>
        <v>3.2946324333765409</v>
      </c>
    </row>
    <row r="393" spans="1:18" x14ac:dyDescent="0.35">
      <c r="A393">
        <v>1054</v>
      </c>
      <c r="B393" s="1">
        <v>45135</v>
      </c>
      <c r="C393" t="s">
        <v>22</v>
      </c>
      <c r="D393" t="s">
        <v>30</v>
      </c>
      <c r="E393">
        <v>768.28</v>
      </c>
      <c r="F393">
        <v>20</v>
      </c>
      <c r="G393" t="s">
        <v>26</v>
      </c>
      <c r="H393">
        <v>4622.1400000000003</v>
      </c>
      <c r="I393">
        <v>5122.07</v>
      </c>
      <c r="J393" t="s">
        <v>27</v>
      </c>
      <c r="K393">
        <v>0.26</v>
      </c>
      <c r="L393" t="s">
        <v>18</v>
      </c>
      <c r="M393" t="s">
        <v>21</v>
      </c>
      <c r="N393" t="str">
        <f t="shared" si="30"/>
        <v>East-David</v>
      </c>
      <c r="O393">
        <f t="shared" si="31"/>
        <v>92442.8</v>
      </c>
      <c r="P393">
        <f t="shared" si="32"/>
        <v>102441.4</v>
      </c>
      <c r="Q393">
        <f t="shared" si="33"/>
        <v>9998.5999999999913</v>
      </c>
      <c r="R393">
        <f t="shared" si="34"/>
        <v>9.7603117489608611</v>
      </c>
    </row>
    <row r="394" spans="1:18" x14ac:dyDescent="0.35">
      <c r="A394">
        <v>1058</v>
      </c>
      <c r="B394" s="1">
        <v>44940</v>
      </c>
      <c r="C394" t="s">
        <v>14</v>
      </c>
      <c r="D394" t="s">
        <v>30</v>
      </c>
      <c r="E394">
        <v>5235.1400000000003</v>
      </c>
      <c r="F394">
        <v>6</v>
      </c>
      <c r="G394" t="s">
        <v>24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21</v>
      </c>
      <c r="N394" t="str">
        <f t="shared" si="30"/>
        <v>East-Bob</v>
      </c>
      <c r="O394">
        <f t="shared" si="31"/>
        <v>29926.260000000002</v>
      </c>
      <c r="P394">
        <f t="shared" si="32"/>
        <v>29992.68</v>
      </c>
      <c r="Q394">
        <f t="shared" si="33"/>
        <v>66.419999999998254</v>
      </c>
      <c r="R394">
        <f t="shared" si="34"/>
        <v>0.22145403478448158</v>
      </c>
    </row>
    <row r="395" spans="1:18" x14ac:dyDescent="0.35">
      <c r="A395">
        <v>1067</v>
      </c>
      <c r="B395" s="1">
        <v>44935</v>
      </c>
      <c r="C395" t="s">
        <v>29</v>
      </c>
      <c r="D395" t="s">
        <v>15</v>
      </c>
      <c r="E395">
        <v>1875.71</v>
      </c>
      <c r="F395">
        <v>48</v>
      </c>
      <c r="G395" t="s">
        <v>31</v>
      </c>
      <c r="H395">
        <v>210.63</v>
      </c>
      <c r="I395">
        <v>533.57999999999902</v>
      </c>
      <c r="J395" t="s">
        <v>27</v>
      </c>
      <c r="K395">
        <v>0.04</v>
      </c>
      <c r="L395" t="s">
        <v>25</v>
      </c>
      <c r="M395" t="s">
        <v>19</v>
      </c>
      <c r="N395" t="str">
        <f t="shared" si="30"/>
        <v>North-Charlie</v>
      </c>
      <c r="O395">
        <f t="shared" si="31"/>
        <v>10110.24</v>
      </c>
      <c r="P395">
        <f t="shared" si="32"/>
        <v>25611.839999999953</v>
      </c>
      <c r="Q395">
        <f t="shared" si="33"/>
        <v>15501.599999999953</v>
      </c>
      <c r="R395">
        <f t="shared" si="34"/>
        <v>60.525132126391469</v>
      </c>
    </row>
    <row r="396" spans="1:18" x14ac:dyDescent="0.35">
      <c r="A396">
        <v>1046</v>
      </c>
      <c r="B396" s="1">
        <v>44966</v>
      </c>
      <c r="C396" t="s">
        <v>29</v>
      </c>
      <c r="D396" t="s">
        <v>30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27</v>
      </c>
      <c r="K396">
        <v>0.14000000000000001</v>
      </c>
      <c r="L396" t="s">
        <v>18</v>
      </c>
      <c r="M396" t="s">
        <v>21</v>
      </c>
      <c r="N396" t="str">
        <f t="shared" si="30"/>
        <v>East-Charlie</v>
      </c>
      <c r="O396">
        <f t="shared" si="31"/>
        <v>3648.4800000000005</v>
      </c>
      <c r="P396">
        <f t="shared" si="32"/>
        <v>3886.1099999999997</v>
      </c>
      <c r="Q396">
        <f t="shared" si="33"/>
        <v>237.6299999999992</v>
      </c>
      <c r="R396">
        <f t="shared" si="34"/>
        <v>6.1148552151122644</v>
      </c>
    </row>
    <row r="397" spans="1:18" x14ac:dyDescent="0.35">
      <c r="A397">
        <v>1024</v>
      </c>
      <c r="B397" s="1">
        <v>45163</v>
      </c>
      <c r="C397" t="s">
        <v>22</v>
      </c>
      <c r="D397" t="s">
        <v>23</v>
      </c>
      <c r="E397">
        <v>1221.7</v>
      </c>
      <c r="F397">
        <v>42</v>
      </c>
      <c r="G397" t="s">
        <v>31</v>
      </c>
      <c r="H397">
        <v>1586.02</v>
      </c>
      <c r="I397">
        <v>2047.13</v>
      </c>
      <c r="J397" t="s">
        <v>27</v>
      </c>
      <c r="K397">
        <v>0.25</v>
      </c>
      <c r="L397" t="s">
        <v>18</v>
      </c>
      <c r="M397" t="s">
        <v>21</v>
      </c>
      <c r="N397" t="str">
        <f t="shared" si="30"/>
        <v>South-David</v>
      </c>
      <c r="O397">
        <f t="shared" si="31"/>
        <v>66612.84</v>
      </c>
      <c r="P397">
        <f t="shared" si="32"/>
        <v>85979.46</v>
      </c>
      <c r="Q397">
        <f t="shared" si="33"/>
        <v>19366.62000000001</v>
      </c>
      <c r="R397">
        <f t="shared" si="34"/>
        <v>22.524705319154144</v>
      </c>
    </row>
    <row r="398" spans="1:18" x14ac:dyDescent="0.35">
      <c r="A398">
        <v>1032</v>
      </c>
      <c r="B398" s="1">
        <v>45207</v>
      </c>
      <c r="C398" t="s">
        <v>32</v>
      </c>
      <c r="D398" t="s">
        <v>30</v>
      </c>
      <c r="E398">
        <v>4095.65</v>
      </c>
      <c r="F398">
        <v>11</v>
      </c>
      <c r="G398" t="s">
        <v>24</v>
      </c>
      <c r="H398">
        <v>2025.67</v>
      </c>
      <c r="I398">
        <v>2081.5500000000002</v>
      </c>
      <c r="J398" t="s">
        <v>27</v>
      </c>
      <c r="K398">
        <v>0.27</v>
      </c>
      <c r="L398" t="s">
        <v>25</v>
      </c>
      <c r="M398" t="s">
        <v>19</v>
      </c>
      <c r="N398" t="str">
        <f t="shared" si="30"/>
        <v>East-Eve</v>
      </c>
      <c r="O398">
        <f t="shared" si="31"/>
        <v>22282.370000000003</v>
      </c>
      <c r="P398">
        <f t="shared" si="32"/>
        <v>22897.050000000003</v>
      </c>
      <c r="Q398">
        <f t="shared" si="33"/>
        <v>614.68000000000029</v>
      </c>
      <c r="R398">
        <f t="shared" si="34"/>
        <v>2.6845379644976108</v>
      </c>
    </row>
    <row r="399" spans="1:18" x14ac:dyDescent="0.35">
      <c r="A399">
        <v>1047</v>
      </c>
      <c r="B399" s="1">
        <v>45285</v>
      </c>
      <c r="C399" t="s">
        <v>22</v>
      </c>
      <c r="D399" t="s">
        <v>15</v>
      </c>
      <c r="E399">
        <v>7405.06</v>
      </c>
      <c r="F399">
        <v>43</v>
      </c>
      <c r="G399" t="s">
        <v>31</v>
      </c>
      <c r="H399">
        <v>1249.17</v>
      </c>
      <c r="I399">
        <v>1727.15</v>
      </c>
      <c r="J399" t="s">
        <v>27</v>
      </c>
      <c r="K399">
        <v>0.08</v>
      </c>
      <c r="L399" t="s">
        <v>18</v>
      </c>
      <c r="M399" t="s">
        <v>21</v>
      </c>
      <c r="N399" t="str">
        <f t="shared" si="30"/>
        <v>North-David</v>
      </c>
      <c r="O399">
        <f t="shared" si="31"/>
        <v>53714.310000000005</v>
      </c>
      <c r="P399">
        <f t="shared" si="32"/>
        <v>74267.45</v>
      </c>
      <c r="Q399">
        <f t="shared" si="33"/>
        <v>20553.139999999992</v>
      </c>
      <c r="R399">
        <f t="shared" si="34"/>
        <v>27.674492661320667</v>
      </c>
    </row>
    <row r="400" spans="1:18" x14ac:dyDescent="0.3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24</v>
      </c>
      <c r="H400">
        <v>1057.27</v>
      </c>
      <c r="I400">
        <v>1366.62</v>
      </c>
      <c r="J400" t="s">
        <v>27</v>
      </c>
      <c r="K400">
        <v>0.21</v>
      </c>
      <c r="L400" t="s">
        <v>28</v>
      </c>
      <c r="M400" t="s">
        <v>21</v>
      </c>
      <c r="N400" t="str">
        <f t="shared" si="30"/>
        <v>North-Bob</v>
      </c>
      <c r="O400">
        <f t="shared" si="31"/>
        <v>17973.59</v>
      </c>
      <c r="P400">
        <f t="shared" si="32"/>
        <v>23232.539999999997</v>
      </c>
      <c r="Q400">
        <f t="shared" si="33"/>
        <v>5258.9499999999971</v>
      </c>
      <c r="R400">
        <f t="shared" si="34"/>
        <v>22.636138794983232</v>
      </c>
    </row>
    <row r="401" spans="1:18" x14ac:dyDescent="0.35">
      <c r="A401">
        <v>1023</v>
      </c>
      <c r="B401" s="1">
        <v>45172</v>
      </c>
      <c r="C401" t="s">
        <v>22</v>
      </c>
      <c r="D401" t="s">
        <v>23</v>
      </c>
      <c r="E401">
        <v>4285.01</v>
      </c>
      <c r="F401">
        <v>32</v>
      </c>
      <c r="G401" t="s">
        <v>31</v>
      </c>
      <c r="H401">
        <v>4775.04</v>
      </c>
      <c r="I401">
        <v>4785.66</v>
      </c>
      <c r="J401" t="s">
        <v>27</v>
      </c>
      <c r="K401">
        <v>0.03</v>
      </c>
      <c r="L401" t="s">
        <v>18</v>
      </c>
      <c r="M401" t="s">
        <v>19</v>
      </c>
      <c r="N401" t="str">
        <f t="shared" si="30"/>
        <v>South-David</v>
      </c>
      <c r="O401">
        <f t="shared" si="31"/>
        <v>152801.28</v>
      </c>
      <c r="P401">
        <f t="shared" si="32"/>
        <v>153141.12</v>
      </c>
      <c r="Q401">
        <f t="shared" si="33"/>
        <v>339.83999999999651</v>
      </c>
      <c r="R401">
        <f t="shared" si="34"/>
        <v>0.22191296498288413</v>
      </c>
    </row>
    <row r="402" spans="1:18" x14ac:dyDescent="0.35">
      <c r="A402">
        <v>1066</v>
      </c>
      <c r="B402" s="1">
        <v>45204</v>
      </c>
      <c r="C402" t="s">
        <v>33</v>
      </c>
      <c r="D402" t="s">
        <v>23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27</v>
      </c>
      <c r="K402">
        <v>0.01</v>
      </c>
      <c r="L402" t="s">
        <v>25</v>
      </c>
      <c r="M402" t="s">
        <v>19</v>
      </c>
      <c r="N402" t="str">
        <f t="shared" si="30"/>
        <v>South-Alice</v>
      </c>
      <c r="O402">
        <f t="shared" si="31"/>
        <v>18386.72</v>
      </c>
      <c r="P402">
        <f t="shared" si="32"/>
        <v>20178.96</v>
      </c>
      <c r="Q402">
        <f t="shared" si="33"/>
        <v>1792.239999999998</v>
      </c>
      <c r="R402">
        <f t="shared" si="34"/>
        <v>8.8817263129516988</v>
      </c>
    </row>
    <row r="403" spans="1:18" x14ac:dyDescent="0.35">
      <c r="A403">
        <v>1027</v>
      </c>
      <c r="B403" s="1">
        <v>45161</v>
      </c>
      <c r="C403" t="s">
        <v>14</v>
      </c>
      <c r="D403" t="s">
        <v>30</v>
      </c>
      <c r="E403">
        <v>4036.36</v>
      </c>
      <c r="F403">
        <v>4</v>
      </c>
      <c r="G403" t="s">
        <v>31</v>
      </c>
      <c r="H403">
        <v>282.61</v>
      </c>
      <c r="I403">
        <v>548.25</v>
      </c>
      <c r="J403" t="s">
        <v>27</v>
      </c>
      <c r="K403">
        <v>0.17</v>
      </c>
      <c r="L403" t="s">
        <v>28</v>
      </c>
      <c r="M403" t="s">
        <v>19</v>
      </c>
      <c r="N403" t="str">
        <f t="shared" si="30"/>
        <v>East-Bob</v>
      </c>
      <c r="O403">
        <f t="shared" si="31"/>
        <v>1130.44</v>
      </c>
      <c r="P403">
        <f t="shared" si="32"/>
        <v>2193</v>
      </c>
      <c r="Q403">
        <f t="shared" si="33"/>
        <v>1062.56</v>
      </c>
      <c r="R403">
        <f t="shared" si="34"/>
        <v>48.452348381212943</v>
      </c>
    </row>
    <row r="404" spans="1:18" x14ac:dyDescent="0.35">
      <c r="A404">
        <v>1002</v>
      </c>
      <c r="B404" s="1">
        <v>44930</v>
      </c>
      <c r="C404" t="s">
        <v>14</v>
      </c>
      <c r="D404" t="s">
        <v>30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27</v>
      </c>
      <c r="K404">
        <v>0.21</v>
      </c>
      <c r="L404" t="s">
        <v>18</v>
      </c>
      <c r="M404" t="s">
        <v>19</v>
      </c>
      <c r="N404" t="str">
        <f t="shared" si="30"/>
        <v>East-Bob</v>
      </c>
      <c r="O404">
        <f t="shared" si="31"/>
        <v>29361.039999999997</v>
      </c>
      <c r="P404">
        <f t="shared" si="32"/>
        <v>31719.11</v>
      </c>
      <c r="Q404">
        <f t="shared" si="33"/>
        <v>2358.0700000000033</v>
      </c>
      <c r="R404">
        <f t="shared" si="34"/>
        <v>7.434224982983455</v>
      </c>
    </row>
    <row r="405" spans="1:18" x14ac:dyDescent="0.35">
      <c r="A405">
        <v>1090</v>
      </c>
      <c r="B405" s="1">
        <v>45080</v>
      </c>
      <c r="C405" t="s">
        <v>32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27</v>
      </c>
      <c r="K405">
        <v>0.24</v>
      </c>
      <c r="L405" t="s">
        <v>28</v>
      </c>
      <c r="M405" t="s">
        <v>19</v>
      </c>
      <c r="N405" t="str">
        <f t="shared" si="30"/>
        <v>North-Eve</v>
      </c>
      <c r="O405">
        <f t="shared" si="31"/>
        <v>84275.09</v>
      </c>
      <c r="P405">
        <f t="shared" si="32"/>
        <v>100099.86</v>
      </c>
      <c r="Q405">
        <f t="shared" si="33"/>
        <v>15824.770000000004</v>
      </c>
      <c r="R405">
        <f t="shared" si="34"/>
        <v>15.808983149426986</v>
      </c>
    </row>
    <row r="406" spans="1:18" x14ac:dyDescent="0.35">
      <c r="A406">
        <v>1017</v>
      </c>
      <c r="B406" s="1">
        <v>44955</v>
      </c>
      <c r="C406" t="s">
        <v>29</v>
      </c>
      <c r="D406" t="s">
        <v>23</v>
      </c>
      <c r="E406">
        <v>4882.09</v>
      </c>
      <c r="F406">
        <v>19</v>
      </c>
      <c r="G406" t="s">
        <v>31</v>
      </c>
      <c r="H406">
        <v>1233.1199999999999</v>
      </c>
      <c r="I406">
        <v>1697.1899999999901</v>
      </c>
      <c r="J406" t="s">
        <v>27</v>
      </c>
      <c r="K406">
        <v>0.1</v>
      </c>
      <c r="L406" t="s">
        <v>28</v>
      </c>
      <c r="M406" t="s">
        <v>19</v>
      </c>
      <c r="N406" t="str">
        <f t="shared" si="30"/>
        <v>South-Charlie</v>
      </c>
      <c r="O406">
        <f t="shared" si="31"/>
        <v>23429.279999999999</v>
      </c>
      <c r="P406">
        <f t="shared" si="32"/>
        <v>32246.609999999811</v>
      </c>
      <c r="Q406">
        <f t="shared" si="33"/>
        <v>8817.3299999998126</v>
      </c>
      <c r="R406">
        <f t="shared" si="34"/>
        <v>27.343432379403183</v>
      </c>
    </row>
    <row r="407" spans="1:18" x14ac:dyDescent="0.35">
      <c r="A407">
        <v>1033</v>
      </c>
      <c r="B407" s="1">
        <v>45035</v>
      </c>
      <c r="C407" t="s">
        <v>14</v>
      </c>
      <c r="D407" t="s">
        <v>23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27</v>
      </c>
      <c r="K407">
        <v>0</v>
      </c>
      <c r="L407" t="s">
        <v>18</v>
      </c>
      <c r="M407" t="s">
        <v>19</v>
      </c>
      <c r="N407" t="str">
        <f t="shared" si="30"/>
        <v>South-Bob</v>
      </c>
      <c r="O407">
        <f t="shared" si="31"/>
        <v>15814.6</v>
      </c>
      <c r="P407">
        <f t="shared" si="32"/>
        <v>17049.649999999998</v>
      </c>
      <c r="Q407">
        <f t="shared" si="33"/>
        <v>1235.0499999999975</v>
      </c>
      <c r="R407">
        <f t="shared" si="34"/>
        <v>7.243843715266868</v>
      </c>
    </row>
    <row r="408" spans="1:18" x14ac:dyDescent="0.35">
      <c r="A408">
        <v>1009</v>
      </c>
      <c r="B408" s="1">
        <v>45024</v>
      </c>
      <c r="C408" t="s">
        <v>29</v>
      </c>
      <c r="D408" t="s">
        <v>23</v>
      </c>
      <c r="E408">
        <v>2945.87</v>
      </c>
      <c r="F408">
        <v>32</v>
      </c>
      <c r="G408" t="s">
        <v>26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21</v>
      </c>
      <c r="N408" t="str">
        <f t="shared" si="30"/>
        <v>South-Charlie</v>
      </c>
      <c r="O408">
        <f t="shared" si="31"/>
        <v>103036.16</v>
      </c>
      <c r="P408">
        <f t="shared" si="32"/>
        <v>108304</v>
      </c>
      <c r="Q408">
        <f t="shared" si="33"/>
        <v>5267.8399999999965</v>
      </c>
      <c r="R408">
        <f t="shared" si="34"/>
        <v>4.8639385433594295</v>
      </c>
    </row>
    <row r="409" spans="1:18" x14ac:dyDescent="0.35">
      <c r="A409">
        <v>1043</v>
      </c>
      <c r="B409" s="1">
        <v>45141</v>
      </c>
      <c r="C409" t="s">
        <v>22</v>
      </c>
      <c r="D409" t="s">
        <v>30</v>
      </c>
      <c r="E409">
        <v>6601.89</v>
      </c>
      <c r="F409">
        <v>22</v>
      </c>
      <c r="G409" t="s">
        <v>31</v>
      </c>
      <c r="H409">
        <v>4260</v>
      </c>
      <c r="I409">
        <v>4656.58</v>
      </c>
      <c r="J409" t="s">
        <v>27</v>
      </c>
      <c r="K409">
        <v>0</v>
      </c>
      <c r="L409" t="s">
        <v>25</v>
      </c>
      <c r="M409" t="s">
        <v>19</v>
      </c>
      <c r="N409" t="str">
        <f t="shared" si="30"/>
        <v>East-David</v>
      </c>
      <c r="O409">
        <f t="shared" si="31"/>
        <v>93720</v>
      </c>
      <c r="P409">
        <f t="shared" si="32"/>
        <v>102444.76</v>
      </c>
      <c r="Q409">
        <f t="shared" si="33"/>
        <v>8724.7599999999948</v>
      </c>
      <c r="R409">
        <f t="shared" si="34"/>
        <v>8.5165507733143162</v>
      </c>
    </row>
    <row r="410" spans="1:18" x14ac:dyDescent="0.35">
      <c r="A410">
        <v>1048</v>
      </c>
      <c r="B410" s="1">
        <v>45219</v>
      </c>
      <c r="C410" t="s">
        <v>33</v>
      </c>
      <c r="D410" t="s">
        <v>23</v>
      </c>
      <c r="E410">
        <v>9688.52</v>
      </c>
      <c r="F410">
        <v>6</v>
      </c>
      <c r="G410" t="s">
        <v>31</v>
      </c>
      <c r="H410">
        <v>3717.3</v>
      </c>
      <c r="I410">
        <v>4061.37</v>
      </c>
      <c r="J410" t="s">
        <v>27</v>
      </c>
      <c r="K410">
        <v>0.03</v>
      </c>
      <c r="L410" t="s">
        <v>25</v>
      </c>
      <c r="M410" t="s">
        <v>21</v>
      </c>
      <c r="N410" t="str">
        <f t="shared" si="30"/>
        <v>South-Alice</v>
      </c>
      <c r="O410">
        <f t="shared" si="31"/>
        <v>22303.800000000003</v>
      </c>
      <c r="P410">
        <f t="shared" si="32"/>
        <v>24368.22</v>
      </c>
      <c r="Q410">
        <f t="shared" si="33"/>
        <v>2064.4199999999983</v>
      </c>
      <c r="R410">
        <f t="shared" si="34"/>
        <v>8.4717718405365598</v>
      </c>
    </row>
    <row r="411" spans="1:18" x14ac:dyDescent="0.35">
      <c r="A411">
        <v>1039</v>
      </c>
      <c r="B411" s="1">
        <v>45001</v>
      </c>
      <c r="C411" t="s">
        <v>32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27</v>
      </c>
      <c r="K411">
        <v>0.1</v>
      </c>
      <c r="L411" t="s">
        <v>28</v>
      </c>
      <c r="M411" t="s">
        <v>21</v>
      </c>
      <c r="N411" t="str">
        <f t="shared" si="30"/>
        <v>North-Eve</v>
      </c>
      <c r="O411">
        <f t="shared" si="31"/>
        <v>95750.9</v>
      </c>
      <c r="P411">
        <f t="shared" si="32"/>
        <v>111343.04999999965</v>
      </c>
      <c r="Q411">
        <f t="shared" si="33"/>
        <v>15592.149999999659</v>
      </c>
      <c r="R411">
        <f t="shared" si="34"/>
        <v>14.003702970234521</v>
      </c>
    </row>
    <row r="412" spans="1:18" x14ac:dyDescent="0.35">
      <c r="A412">
        <v>1093</v>
      </c>
      <c r="B412" s="1">
        <v>45252</v>
      </c>
      <c r="C412" t="s">
        <v>29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27</v>
      </c>
      <c r="K412">
        <v>0.13</v>
      </c>
      <c r="L412" t="s">
        <v>25</v>
      </c>
      <c r="M412" t="s">
        <v>19</v>
      </c>
      <c r="N412" t="str">
        <f t="shared" si="30"/>
        <v>North-Charlie</v>
      </c>
      <c r="O412">
        <f t="shared" si="31"/>
        <v>72275.5</v>
      </c>
      <c r="P412">
        <f t="shared" si="32"/>
        <v>79960.759999999995</v>
      </c>
      <c r="Q412">
        <f t="shared" si="33"/>
        <v>7685.2599999999948</v>
      </c>
      <c r="R412">
        <f t="shared" si="34"/>
        <v>9.6112893374199988</v>
      </c>
    </row>
    <row r="413" spans="1:18" x14ac:dyDescent="0.35">
      <c r="A413">
        <v>1042</v>
      </c>
      <c r="B413" s="1">
        <v>45072</v>
      </c>
      <c r="C413" t="s">
        <v>14</v>
      </c>
      <c r="D413" t="s">
        <v>30</v>
      </c>
      <c r="E413">
        <v>848.28</v>
      </c>
      <c r="F413">
        <v>1</v>
      </c>
      <c r="G413" t="s">
        <v>31</v>
      </c>
      <c r="H413">
        <v>1406.24</v>
      </c>
      <c r="I413">
        <v>1535.57</v>
      </c>
      <c r="J413" t="s">
        <v>27</v>
      </c>
      <c r="K413">
        <v>0.08</v>
      </c>
      <c r="L413" t="s">
        <v>28</v>
      </c>
      <c r="M413" t="s">
        <v>21</v>
      </c>
      <c r="N413" t="str">
        <f t="shared" si="30"/>
        <v>East-Bob</v>
      </c>
      <c r="O413">
        <f t="shared" si="31"/>
        <v>1406.24</v>
      </c>
      <c r="P413">
        <f t="shared" si="32"/>
        <v>1535.57</v>
      </c>
      <c r="Q413">
        <f t="shared" si="33"/>
        <v>129.32999999999993</v>
      </c>
      <c r="R413">
        <f t="shared" si="34"/>
        <v>8.4222796746484967</v>
      </c>
    </row>
    <row r="414" spans="1:18" x14ac:dyDescent="0.35">
      <c r="A414">
        <v>1026</v>
      </c>
      <c r="B414" s="1">
        <v>45054</v>
      </c>
      <c r="C414" t="s">
        <v>29</v>
      </c>
      <c r="D414" t="s">
        <v>20</v>
      </c>
      <c r="E414">
        <v>9519.09</v>
      </c>
      <c r="F414">
        <v>20</v>
      </c>
      <c r="G414" t="s">
        <v>26</v>
      </c>
      <c r="H414">
        <v>2985.63</v>
      </c>
      <c r="I414">
        <v>3452.14</v>
      </c>
      <c r="J414" t="s">
        <v>27</v>
      </c>
      <c r="K414">
        <v>0.17</v>
      </c>
      <c r="L414" t="s">
        <v>28</v>
      </c>
      <c r="M414" t="s">
        <v>21</v>
      </c>
      <c r="N414" t="str">
        <f t="shared" si="30"/>
        <v>West-Charlie</v>
      </c>
      <c r="O414">
        <f t="shared" si="31"/>
        <v>59712.600000000006</v>
      </c>
      <c r="P414">
        <f t="shared" si="32"/>
        <v>69042.8</v>
      </c>
      <c r="Q414">
        <f t="shared" si="33"/>
        <v>9330.1999999999971</v>
      </c>
      <c r="R414">
        <f t="shared" si="34"/>
        <v>13.513646607611507</v>
      </c>
    </row>
    <row r="415" spans="1:18" x14ac:dyDescent="0.35">
      <c r="A415">
        <v>1099</v>
      </c>
      <c r="B415" s="1">
        <v>45267</v>
      </c>
      <c r="C415" t="s">
        <v>14</v>
      </c>
      <c r="D415" t="s">
        <v>30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25</v>
      </c>
      <c r="M415" t="s">
        <v>21</v>
      </c>
      <c r="N415" t="str">
        <f t="shared" si="30"/>
        <v>East-Bob</v>
      </c>
      <c r="O415">
        <f t="shared" si="31"/>
        <v>54376.740000000005</v>
      </c>
      <c r="P415">
        <f t="shared" si="32"/>
        <v>55726.879999999997</v>
      </c>
      <c r="Q415">
        <f t="shared" si="33"/>
        <v>1350.1399999999921</v>
      </c>
      <c r="R415">
        <f t="shared" si="34"/>
        <v>2.4227805324826943</v>
      </c>
    </row>
    <row r="416" spans="1:18" x14ac:dyDescent="0.35">
      <c r="A416">
        <v>1050</v>
      </c>
      <c r="B416" s="1">
        <v>44968</v>
      </c>
      <c r="C416" t="s">
        <v>29</v>
      </c>
      <c r="D416" t="s">
        <v>20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25</v>
      </c>
      <c r="M416" t="s">
        <v>19</v>
      </c>
      <c r="N416" t="str">
        <f t="shared" si="30"/>
        <v>West-Charlie</v>
      </c>
      <c r="O416">
        <f t="shared" si="31"/>
        <v>34082.879999999997</v>
      </c>
      <c r="P416">
        <f t="shared" si="32"/>
        <v>40864.799999999952</v>
      </c>
      <c r="Q416">
        <f t="shared" si="33"/>
        <v>6781.9199999999546</v>
      </c>
      <c r="R416">
        <f t="shared" si="34"/>
        <v>16.59599459681673</v>
      </c>
    </row>
    <row r="417" spans="1:18" x14ac:dyDescent="0.35">
      <c r="A417">
        <v>1025</v>
      </c>
      <c r="B417" s="1">
        <v>45282</v>
      </c>
      <c r="C417" t="s">
        <v>14</v>
      </c>
      <c r="D417" t="s">
        <v>23</v>
      </c>
      <c r="E417">
        <v>6030.54</v>
      </c>
      <c r="F417">
        <v>11</v>
      </c>
      <c r="G417" t="s">
        <v>24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25</v>
      </c>
      <c r="M417" t="s">
        <v>21</v>
      </c>
      <c r="N417" t="str">
        <f t="shared" si="30"/>
        <v>South-Bob</v>
      </c>
      <c r="O417">
        <f t="shared" si="31"/>
        <v>13756.49</v>
      </c>
      <c r="P417">
        <f t="shared" si="32"/>
        <v>16670.38999999989</v>
      </c>
      <c r="Q417">
        <f t="shared" si="33"/>
        <v>2913.8999999998905</v>
      </c>
      <c r="R417">
        <f t="shared" si="34"/>
        <v>17.479495080798408</v>
      </c>
    </row>
    <row r="418" spans="1:18" x14ac:dyDescent="0.35">
      <c r="A418">
        <v>1024</v>
      </c>
      <c r="B418" s="1">
        <v>44967</v>
      </c>
      <c r="C418" t="s">
        <v>22</v>
      </c>
      <c r="D418" t="s">
        <v>30</v>
      </c>
      <c r="E418">
        <v>6274.12</v>
      </c>
      <c r="F418">
        <v>13</v>
      </c>
      <c r="G418" t="s">
        <v>26</v>
      </c>
      <c r="H418">
        <v>1493.88</v>
      </c>
      <c r="I418">
        <v>1781.09</v>
      </c>
      <c r="J418" t="s">
        <v>27</v>
      </c>
      <c r="K418">
        <v>0.04</v>
      </c>
      <c r="L418" t="s">
        <v>18</v>
      </c>
      <c r="M418" t="s">
        <v>21</v>
      </c>
      <c r="N418" t="str">
        <f t="shared" si="30"/>
        <v>East-David</v>
      </c>
      <c r="O418">
        <f t="shared" si="31"/>
        <v>19420.440000000002</v>
      </c>
      <c r="P418">
        <f t="shared" si="32"/>
        <v>23154.17</v>
      </c>
      <c r="Q418">
        <f t="shared" si="33"/>
        <v>3733.7299999999959</v>
      </c>
      <c r="R418">
        <f t="shared" si="34"/>
        <v>16.125518643078099</v>
      </c>
    </row>
    <row r="419" spans="1:18" x14ac:dyDescent="0.3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26</v>
      </c>
      <c r="H419">
        <v>4625.33</v>
      </c>
      <c r="I419">
        <v>4642.83</v>
      </c>
      <c r="J419" t="s">
        <v>27</v>
      </c>
      <c r="K419">
        <v>0.19</v>
      </c>
      <c r="L419" t="s">
        <v>28</v>
      </c>
      <c r="M419" t="s">
        <v>19</v>
      </c>
      <c r="N419" t="str">
        <f t="shared" si="30"/>
        <v>North-Bob</v>
      </c>
      <c r="O419">
        <f t="shared" si="31"/>
        <v>194263.86</v>
      </c>
      <c r="P419">
        <f t="shared" si="32"/>
        <v>194998.86</v>
      </c>
      <c r="Q419">
        <f t="shared" si="33"/>
        <v>735</v>
      </c>
      <c r="R419">
        <f t="shared" si="34"/>
        <v>0.37692528048625518</v>
      </c>
    </row>
    <row r="420" spans="1:18" x14ac:dyDescent="0.35">
      <c r="A420">
        <v>1060</v>
      </c>
      <c r="B420" s="1">
        <v>44943</v>
      </c>
      <c r="C420" t="s">
        <v>14</v>
      </c>
      <c r="D420" t="s">
        <v>23</v>
      </c>
      <c r="E420">
        <v>2747.28</v>
      </c>
      <c r="F420">
        <v>3</v>
      </c>
      <c r="G420" t="s">
        <v>31</v>
      </c>
      <c r="H420">
        <v>1190.4100000000001</v>
      </c>
      <c r="I420">
        <v>1582.89</v>
      </c>
      <c r="J420" t="s">
        <v>27</v>
      </c>
      <c r="K420">
        <v>0.02</v>
      </c>
      <c r="L420" t="s">
        <v>28</v>
      </c>
      <c r="M420" t="s">
        <v>21</v>
      </c>
      <c r="N420" t="str">
        <f t="shared" si="30"/>
        <v>South-Bob</v>
      </c>
      <c r="O420">
        <f t="shared" si="31"/>
        <v>3571.2300000000005</v>
      </c>
      <c r="P420">
        <f t="shared" si="32"/>
        <v>4748.67</v>
      </c>
      <c r="Q420">
        <f t="shared" si="33"/>
        <v>1177.4399999999996</v>
      </c>
      <c r="R420">
        <f t="shared" si="34"/>
        <v>24.795153169203157</v>
      </c>
    </row>
    <row r="421" spans="1:18" x14ac:dyDescent="0.35">
      <c r="A421">
        <v>1007</v>
      </c>
      <c r="B421" s="1">
        <v>45091</v>
      </c>
      <c r="C421" t="s">
        <v>33</v>
      </c>
      <c r="D421" t="s">
        <v>15</v>
      </c>
      <c r="E421">
        <v>249.6</v>
      </c>
      <c r="F421">
        <v>9</v>
      </c>
      <c r="G421" t="s">
        <v>26</v>
      </c>
      <c r="H421">
        <v>1481.76</v>
      </c>
      <c r="I421">
        <v>1668.95</v>
      </c>
      <c r="J421" t="s">
        <v>17</v>
      </c>
      <c r="K421">
        <v>0.12</v>
      </c>
      <c r="L421" t="s">
        <v>28</v>
      </c>
      <c r="M421" t="s">
        <v>21</v>
      </c>
      <c r="N421" t="str">
        <f t="shared" si="30"/>
        <v>North-Alice</v>
      </c>
      <c r="O421">
        <f t="shared" si="31"/>
        <v>13335.84</v>
      </c>
      <c r="P421">
        <f t="shared" si="32"/>
        <v>15020.550000000001</v>
      </c>
      <c r="Q421">
        <f t="shared" si="33"/>
        <v>1684.7100000000009</v>
      </c>
      <c r="R421">
        <f t="shared" si="34"/>
        <v>11.216034033374282</v>
      </c>
    </row>
    <row r="422" spans="1:18" x14ac:dyDescent="0.35">
      <c r="A422">
        <v>1057</v>
      </c>
      <c r="B422" s="1">
        <v>45079</v>
      </c>
      <c r="C422" t="s">
        <v>14</v>
      </c>
      <c r="D422" t="s">
        <v>23</v>
      </c>
      <c r="E422">
        <v>9653.65</v>
      </c>
      <c r="F422">
        <v>12</v>
      </c>
      <c r="G422" t="s">
        <v>31</v>
      </c>
      <c r="H422">
        <v>1878.3</v>
      </c>
      <c r="I422">
        <v>2087.4499999999998</v>
      </c>
      <c r="J422" t="s">
        <v>27</v>
      </c>
      <c r="K422">
        <v>0.05</v>
      </c>
      <c r="L422" t="s">
        <v>25</v>
      </c>
      <c r="M422" t="s">
        <v>21</v>
      </c>
      <c r="N422" t="str">
        <f t="shared" si="30"/>
        <v>South-Bob</v>
      </c>
      <c r="O422">
        <f t="shared" si="31"/>
        <v>22539.599999999999</v>
      </c>
      <c r="P422">
        <f t="shared" si="32"/>
        <v>25049.399999999998</v>
      </c>
      <c r="Q422">
        <f t="shared" si="33"/>
        <v>2509.7999999999993</v>
      </c>
      <c r="R422">
        <f t="shared" si="34"/>
        <v>10.019401662315262</v>
      </c>
    </row>
    <row r="423" spans="1:18" x14ac:dyDescent="0.35">
      <c r="A423">
        <v>1036</v>
      </c>
      <c r="B423" s="1">
        <v>45002</v>
      </c>
      <c r="C423" t="s">
        <v>33</v>
      </c>
      <c r="D423" t="s">
        <v>30</v>
      </c>
      <c r="E423">
        <v>2583.84</v>
      </c>
      <c r="F423">
        <v>23</v>
      </c>
      <c r="G423" t="s">
        <v>24</v>
      </c>
      <c r="H423">
        <v>3335.53</v>
      </c>
      <c r="I423">
        <v>3742.12</v>
      </c>
      <c r="J423" t="s">
        <v>27</v>
      </c>
      <c r="K423">
        <v>0.03</v>
      </c>
      <c r="L423" t="s">
        <v>25</v>
      </c>
      <c r="M423" t="s">
        <v>21</v>
      </c>
      <c r="N423" t="str">
        <f t="shared" si="30"/>
        <v>East-Alice</v>
      </c>
      <c r="O423">
        <f t="shared" si="31"/>
        <v>76717.19</v>
      </c>
      <c r="P423">
        <f t="shared" si="32"/>
        <v>86068.76</v>
      </c>
      <c r="Q423">
        <f t="shared" si="33"/>
        <v>9351.5699999999924</v>
      </c>
      <c r="R423">
        <f t="shared" si="34"/>
        <v>10.865231473068732</v>
      </c>
    </row>
    <row r="424" spans="1:18" x14ac:dyDescent="0.35">
      <c r="A424">
        <v>1045</v>
      </c>
      <c r="B424" s="1">
        <v>45013</v>
      </c>
      <c r="C424" t="s">
        <v>32</v>
      </c>
      <c r="D424" t="s">
        <v>20</v>
      </c>
      <c r="E424">
        <v>6792.66</v>
      </c>
      <c r="F424">
        <v>14</v>
      </c>
      <c r="G424" t="s">
        <v>26</v>
      </c>
      <c r="H424">
        <v>635.28</v>
      </c>
      <c r="I424">
        <v>831.13</v>
      </c>
      <c r="J424" t="s">
        <v>17</v>
      </c>
      <c r="K424">
        <v>0.17</v>
      </c>
      <c r="L424" t="s">
        <v>25</v>
      </c>
      <c r="M424" t="s">
        <v>21</v>
      </c>
      <c r="N424" t="str">
        <f t="shared" si="30"/>
        <v>West-Eve</v>
      </c>
      <c r="O424">
        <f t="shared" si="31"/>
        <v>8893.92</v>
      </c>
      <c r="P424">
        <f t="shared" si="32"/>
        <v>11635.82</v>
      </c>
      <c r="Q424">
        <f t="shared" si="33"/>
        <v>2741.8999999999996</v>
      </c>
      <c r="R424">
        <f t="shared" si="34"/>
        <v>23.564304019828423</v>
      </c>
    </row>
    <row r="425" spans="1:18" x14ac:dyDescent="0.35">
      <c r="A425">
        <v>1020</v>
      </c>
      <c r="B425" s="1">
        <v>45043</v>
      </c>
      <c r="C425" t="s">
        <v>33</v>
      </c>
      <c r="D425" t="s">
        <v>23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25</v>
      </c>
      <c r="M425" t="s">
        <v>19</v>
      </c>
      <c r="N425" t="str">
        <f t="shared" si="30"/>
        <v>South-Alice</v>
      </c>
      <c r="O425">
        <f t="shared" si="31"/>
        <v>157476.99</v>
      </c>
      <c r="P425">
        <f t="shared" si="32"/>
        <v>158570.61000000002</v>
      </c>
      <c r="Q425">
        <f t="shared" si="33"/>
        <v>1093.6200000000244</v>
      </c>
      <c r="R425">
        <f t="shared" si="34"/>
        <v>0.68967383047843756</v>
      </c>
    </row>
    <row r="426" spans="1:18" x14ac:dyDescent="0.35">
      <c r="A426">
        <v>1065</v>
      </c>
      <c r="B426" s="1">
        <v>45288</v>
      </c>
      <c r="C426" t="s">
        <v>22</v>
      </c>
      <c r="D426" t="s">
        <v>20</v>
      </c>
      <c r="E426">
        <v>6139.07</v>
      </c>
      <c r="F426">
        <v>18</v>
      </c>
      <c r="G426" t="s">
        <v>24</v>
      </c>
      <c r="H426">
        <v>4334.58</v>
      </c>
      <c r="I426">
        <v>4431.04</v>
      </c>
      <c r="J426" t="s">
        <v>27</v>
      </c>
      <c r="K426">
        <v>0.02</v>
      </c>
      <c r="L426" t="s">
        <v>25</v>
      </c>
      <c r="M426" t="s">
        <v>21</v>
      </c>
      <c r="N426" t="str">
        <f t="shared" si="30"/>
        <v>West-David</v>
      </c>
      <c r="O426">
        <f t="shared" si="31"/>
        <v>78022.44</v>
      </c>
      <c r="P426">
        <f t="shared" si="32"/>
        <v>79758.720000000001</v>
      </c>
      <c r="Q426">
        <f t="shared" si="33"/>
        <v>1736.2799999999988</v>
      </c>
      <c r="R426">
        <f t="shared" si="34"/>
        <v>2.1769155773813806</v>
      </c>
    </row>
    <row r="427" spans="1:18" x14ac:dyDescent="0.35">
      <c r="A427">
        <v>1008</v>
      </c>
      <c r="B427" s="1">
        <v>45268</v>
      </c>
      <c r="C427" t="s">
        <v>33</v>
      </c>
      <c r="D427" t="s">
        <v>23</v>
      </c>
      <c r="E427">
        <v>3197.78</v>
      </c>
      <c r="F427">
        <v>49</v>
      </c>
      <c r="G427" t="s">
        <v>31</v>
      </c>
      <c r="H427">
        <v>2907.22</v>
      </c>
      <c r="I427">
        <v>3385.6099999999901</v>
      </c>
      <c r="J427" t="s">
        <v>27</v>
      </c>
      <c r="K427">
        <v>0.13</v>
      </c>
      <c r="L427" t="s">
        <v>18</v>
      </c>
      <c r="M427" t="s">
        <v>19</v>
      </c>
      <c r="N427" t="str">
        <f t="shared" si="30"/>
        <v>South-Alice</v>
      </c>
      <c r="O427">
        <f t="shared" si="31"/>
        <v>142453.78</v>
      </c>
      <c r="P427">
        <f t="shared" si="32"/>
        <v>165894.88999999952</v>
      </c>
      <c r="Q427">
        <f t="shared" si="33"/>
        <v>23441.10999999952</v>
      </c>
      <c r="R427">
        <f t="shared" si="34"/>
        <v>14.130097678113888</v>
      </c>
    </row>
    <row r="428" spans="1:18" x14ac:dyDescent="0.35">
      <c r="A428">
        <v>1016</v>
      </c>
      <c r="B428" s="1">
        <v>44953</v>
      </c>
      <c r="C428" t="s">
        <v>32</v>
      </c>
      <c r="D428" t="s">
        <v>15</v>
      </c>
      <c r="E428">
        <v>2783.85</v>
      </c>
      <c r="F428">
        <v>41</v>
      </c>
      <c r="G428" t="s">
        <v>24</v>
      </c>
      <c r="H428">
        <v>3386.49</v>
      </c>
      <c r="I428">
        <v>3430.99</v>
      </c>
      <c r="J428" t="s">
        <v>27</v>
      </c>
      <c r="K428">
        <v>0.21</v>
      </c>
      <c r="L428" t="s">
        <v>25</v>
      </c>
      <c r="M428" t="s">
        <v>21</v>
      </c>
      <c r="N428" t="str">
        <f t="shared" si="30"/>
        <v>North-Eve</v>
      </c>
      <c r="O428">
        <f t="shared" si="31"/>
        <v>138846.09</v>
      </c>
      <c r="P428">
        <f t="shared" si="32"/>
        <v>140670.59</v>
      </c>
      <c r="Q428">
        <f t="shared" si="33"/>
        <v>1824.5</v>
      </c>
      <c r="R428">
        <f t="shared" si="34"/>
        <v>1.2970017400225591</v>
      </c>
    </row>
    <row r="429" spans="1:18" x14ac:dyDescent="0.35">
      <c r="A429">
        <v>1014</v>
      </c>
      <c r="B429" s="1">
        <v>45239</v>
      </c>
      <c r="C429" t="s">
        <v>22</v>
      </c>
      <c r="D429" t="s">
        <v>15</v>
      </c>
      <c r="E429">
        <v>6016.92</v>
      </c>
      <c r="F429">
        <v>9</v>
      </c>
      <c r="G429" t="s">
        <v>31</v>
      </c>
      <c r="H429">
        <v>132.47</v>
      </c>
      <c r="I429">
        <v>316.39</v>
      </c>
      <c r="J429" t="s">
        <v>27</v>
      </c>
      <c r="K429">
        <v>0.14000000000000001</v>
      </c>
      <c r="L429" t="s">
        <v>28</v>
      </c>
      <c r="M429" t="s">
        <v>19</v>
      </c>
      <c r="N429" t="str">
        <f t="shared" si="30"/>
        <v>North-David</v>
      </c>
      <c r="O429">
        <f t="shared" si="31"/>
        <v>1192.23</v>
      </c>
      <c r="P429">
        <f t="shared" si="32"/>
        <v>2847.5099999999998</v>
      </c>
      <c r="Q429">
        <f t="shared" si="33"/>
        <v>1655.2799999999997</v>
      </c>
      <c r="R429">
        <f t="shared" si="34"/>
        <v>58.130787951578746</v>
      </c>
    </row>
    <row r="430" spans="1:18" x14ac:dyDescent="0.35">
      <c r="A430">
        <v>1076</v>
      </c>
      <c r="B430" s="1">
        <v>45213</v>
      </c>
      <c r="C430" t="s">
        <v>29</v>
      </c>
      <c r="D430" t="s">
        <v>23</v>
      </c>
      <c r="E430">
        <v>8674.35</v>
      </c>
      <c r="F430">
        <v>23</v>
      </c>
      <c r="G430" t="s">
        <v>24</v>
      </c>
      <c r="H430">
        <v>1727.78</v>
      </c>
      <c r="I430">
        <v>1984.34</v>
      </c>
      <c r="J430" t="s">
        <v>17</v>
      </c>
      <c r="K430">
        <v>0.24</v>
      </c>
      <c r="L430" t="s">
        <v>25</v>
      </c>
      <c r="M430" t="s">
        <v>19</v>
      </c>
      <c r="N430" t="str">
        <f t="shared" si="30"/>
        <v>South-Charlie</v>
      </c>
      <c r="O430">
        <f t="shared" si="31"/>
        <v>39738.94</v>
      </c>
      <c r="P430">
        <f t="shared" si="32"/>
        <v>45639.82</v>
      </c>
      <c r="Q430">
        <f t="shared" si="33"/>
        <v>5900.8799999999974</v>
      </c>
      <c r="R430">
        <f t="shared" si="34"/>
        <v>12.929235917231921</v>
      </c>
    </row>
    <row r="431" spans="1:18" x14ac:dyDescent="0.35">
      <c r="A431">
        <v>1087</v>
      </c>
      <c r="B431" s="1">
        <v>45060</v>
      </c>
      <c r="C431" t="s">
        <v>29</v>
      </c>
      <c r="D431" t="s">
        <v>20</v>
      </c>
      <c r="E431">
        <v>9472.66</v>
      </c>
      <c r="F431">
        <v>10</v>
      </c>
      <c r="G431" t="s">
        <v>31</v>
      </c>
      <c r="H431">
        <v>3988.52</v>
      </c>
      <c r="I431">
        <v>4240.2299999999996</v>
      </c>
      <c r="J431" t="s">
        <v>27</v>
      </c>
      <c r="K431">
        <v>0.05</v>
      </c>
      <c r="L431" t="s">
        <v>28</v>
      </c>
      <c r="M431" t="s">
        <v>19</v>
      </c>
      <c r="N431" t="str">
        <f t="shared" si="30"/>
        <v>West-Charlie</v>
      </c>
      <c r="O431">
        <f t="shared" si="31"/>
        <v>39885.199999999997</v>
      </c>
      <c r="P431">
        <f t="shared" si="32"/>
        <v>42402.299999999996</v>
      </c>
      <c r="Q431">
        <f t="shared" si="33"/>
        <v>2517.0999999999985</v>
      </c>
      <c r="R431">
        <f t="shared" si="34"/>
        <v>5.936234591048124</v>
      </c>
    </row>
    <row r="432" spans="1:18" x14ac:dyDescent="0.35">
      <c r="A432">
        <v>1015</v>
      </c>
      <c r="B432" s="1">
        <v>45145</v>
      </c>
      <c r="C432" t="s">
        <v>33</v>
      </c>
      <c r="D432" t="s">
        <v>30</v>
      </c>
      <c r="E432">
        <v>1148.47</v>
      </c>
      <c r="F432">
        <v>19</v>
      </c>
      <c r="G432" t="s">
        <v>26</v>
      </c>
      <c r="H432">
        <v>433.54</v>
      </c>
      <c r="I432">
        <v>445.48</v>
      </c>
      <c r="J432" t="s">
        <v>27</v>
      </c>
      <c r="K432">
        <v>0.28999999999999998</v>
      </c>
      <c r="L432" t="s">
        <v>25</v>
      </c>
      <c r="M432" t="s">
        <v>21</v>
      </c>
      <c r="N432" t="str">
        <f t="shared" si="30"/>
        <v>East-Alice</v>
      </c>
      <c r="O432">
        <f t="shared" si="31"/>
        <v>8237.26</v>
      </c>
      <c r="P432">
        <f t="shared" si="32"/>
        <v>8464.1200000000008</v>
      </c>
      <c r="Q432">
        <f t="shared" si="33"/>
        <v>226.86000000000058</v>
      </c>
      <c r="R432">
        <f t="shared" si="34"/>
        <v>2.6802550058364081</v>
      </c>
    </row>
    <row r="433" spans="1:18" x14ac:dyDescent="0.35">
      <c r="A433">
        <v>1092</v>
      </c>
      <c r="B433" s="1">
        <v>45094</v>
      </c>
      <c r="C433" t="s">
        <v>33</v>
      </c>
      <c r="D433" t="s">
        <v>30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25</v>
      </c>
      <c r="M433" t="s">
        <v>21</v>
      </c>
      <c r="N433" t="str">
        <f t="shared" si="30"/>
        <v>East-Alice</v>
      </c>
      <c r="O433">
        <f t="shared" si="31"/>
        <v>68030.150000000009</v>
      </c>
      <c r="P433">
        <f t="shared" si="32"/>
        <v>80041.94</v>
      </c>
      <c r="Q433">
        <f t="shared" si="33"/>
        <v>12011.789999999994</v>
      </c>
      <c r="R433">
        <f t="shared" si="34"/>
        <v>15.006870148324733</v>
      </c>
    </row>
    <row r="434" spans="1:18" x14ac:dyDescent="0.35">
      <c r="A434">
        <v>1098</v>
      </c>
      <c r="B434" s="1">
        <v>45024</v>
      </c>
      <c r="C434" t="s">
        <v>32</v>
      </c>
      <c r="D434" t="s">
        <v>15</v>
      </c>
      <c r="E434">
        <v>9452.89</v>
      </c>
      <c r="F434">
        <v>5</v>
      </c>
      <c r="G434" t="s">
        <v>31</v>
      </c>
      <c r="H434">
        <v>2947.22</v>
      </c>
      <c r="I434">
        <v>3145.27</v>
      </c>
      <c r="J434" t="s">
        <v>27</v>
      </c>
      <c r="K434">
        <v>0.1</v>
      </c>
      <c r="L434" t="s">
        <v>28</v>
      </c>
      <c r="M434" t="s">
        <v>21</v>
      </c>
      <c r="N434" t="str">
        <f t="shared" si="30"/>
        <v>North-Eve</v>
      </c>
      <c r="O434">
        <f t="shared" si="31"/>
        <v>14736.099999999999</v>
      </c>
      <c r="P434">
        <f t="shared" si="32"/>
        <v>15726.35</v>
      </c>
      <c r="Q434">
        <f t="shared" si="33"/>
        <v>990.25000000000182</v>
      </c>
      <c r="R434">
        <f t="shared" si="34"/>
        <v>6.2967567172293748</v>
      </c>
    </row>
    <row r="435" spans="1:18" x14ac:dyDescent="0.35">
      <c r="A435">
        <v>1066</v>
      </c>
      <c r="B435" s="1">
        <v>45194</v>
      </c>
      <c r="C435" t="s">
        <v>32</v>
      </c>
      <c r="D435" t="s">
        <v>30</v>
      </c>
      <c r="E435">
        <v>7391.7</v>
      </c>
      <c r="F435">
        <v>47</v>
      </c>
      <c r="G435" t="s">
        <v>24</v>
      </c>
      <c r="H435">
        <v>1319.24</v>
      </c>
      <c r="I435">
        <v>1805.56</v>
      </c>
      <c r="J435" t="s">
        <v>27</v>
      </c>
      <c r="K435">
        <v>0.26</v>
      </c>
      <c r="L435" t="s">
        <v>28</v>
      </c>
      <c r="M435" t="s">
        <v>21</v>
      </c>
      <c r="N435" t="str">
        <f t="shared" si="30"/>
        <v>East-Eve</v>
      </c>
      <c r="O435">
        <f t="shared" si="31"/>
        <v>62004.28</v>
      </c>
      <c r="P435">
        <f t="shared" si="32"/>
        <v>84861.319999999992</v>
      </c>
      <c r="Q435">
        <f t="shared" si="33"/>
        <v>22857.039999999994</v>
      </c>
      <c r="R435">
        <f t="shared" si="34"/>
        <v>26.934579853341894</v>
      </c>
    </row>
    <row r="436" spans="1:18" x14ac:dyDescent="0.3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31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28</v>
      </c>
      <c r="M436" t="s">
        <v>21</v>
      </c>
      <c r="N436" t="str">
        <f t="shared" si="30"/>
        <v>North-Bob</v>
      </c>
      <c r="O436">
        <f t="shared" si="31"/>
        <v>107483.37</v>
      </c>
      <c r="P436">
        <f t="shared" si="32"/>
        <v>109507.13999999978</v>
      </c>
      <c r="Q436">
        <f t="shared" si="33"/>
        <v>2023.7699999997858</v>
      </c>
      <c r="R436">
        <f t="shared" si="34"/>
        <v>1.8480712764480836</v>
      </c>
    </row>
    <row r="437" spans="1:18" x14ac:dyDescent="0.35">
      <c r="A437">
        <v>1087</v>
      </c>
      <c r="B437" s="1">
        <v>45235</v>
      </c>
      <c r="C437" t="s">
        <v>32</v>
      </c>
      <c r="D437" t="s">
        <v>30</v>
      </c>
      <c r="E437">
        <v>2106.06</v>
      </c>
      <c r="F437">
        <v>30</v>
      </c>
      <c r="G437" t="s">
        <v>31</v>
      </c>
      <c r="H437">
        <v>698.74</v>
      </c>
      <c r="I437">
        <v>882.28</v>
      </c>
      <c r="J437" t="s">
        <v>17</v>
      </c>
      <c r="K437">
        <v>0.15</v>
      </c>
      <c r="L437" t="s">
        <v>28</v>
      </c>
      <c r="M437" t="s">
        <v>19</v>
      </c>
      <c r="N437" t="str">
        <f t="shared" si="30"/>
        <v>East-Eve</v>
      </c>
      <c r="O437">
        <f t="shared" si="31"/>
        <v>20962.2</v>
      </c>
      <c r="P437">
        <f t="shared" si="32"/>
        <v>26468.399999999998</v>
      </c>
      <c r="Q437">
        <f t="shared" si="33"/>
        <v>5506.1999999999971</v>
      </c>
      <c r="R437">
        <f t="shared" si="34"/>
        <v>20.802919708029187</v>
      </c>
    </row>
    <row r="438" spans="1:18" x14ac:dyDescent="0.35">
      <c r="A438">
        <v>1063</v>
      </c>
      <c r="B438" s="1">
        <v>45099</v>
      </c>
      <c r="C438" t="s">
        <v>14</v>
      </c>
      <c r="D438" t="s">
        <v>23</v>
      </c>
      <c r="E438">
        <v>5917.1</v>
      </c>
      <c r="F438">
        <v>25</v>
      </c>
      <c r="G438" t="s">
        <v>31</v>
      </c>
      <c r="H438">
        <v>3997.1</v>
      </c>
      <c r="I438">
        <v>4212.6499999999996</v>
      </c>
      <c r="J438" t="s">
        <v>27</v>
      </c>
      <c r="K438">
        <v>0.22</v>
      </c>
      <c r="L438" t="s">
        <v>18</v>
      </c>
      <c r="M438" t="s">
        <v>19</v>
      </c>
      <c r="N438" t="str">
        <f t="shared" si="30"/>
        <v>South-Bob</v>
      </c>
      <c r="O438">
        <f t="shared" si="31"/>
        <v>99927.5</v>
      </c>
      <c r="P438">
        <f t="shared" si="32"/>
        <v>105316.24999999999</v>
      </c>
      <c r="Q438">
        <f t="shared" si="33"/>
        <v>5388.7499999999854</v>
      </c>
      <c r="R438">
        <f t="shared" si="34"/>
        <v>5.1167317484243755</v>
      </c>
    </row>
    <row r="439" spans="1:18" x14ac:dyDescent="0.35">
      <c r="A439">
        <v>1086</v>
      </c>
      <c r="B439" s="1">
        <v>45116</v>
      </c>
      <c r="C439" t="s">
        <v>22</v>
      </c>
      <c r="D439" t="s">
        <v>15</v>
      </c>
      <c r="E439">
        <v>7041.28</v>
      </c>
      <c r="F439">
        <v>28</v>
      </c>
      <c r="G439" t="s">
        <v>24</v>
      </c>
      <c r="H439">
        <v>2564.35</v>
      </c>
      <c r="I439">
        <v>2765.79</v>
      </c>
      <c r="J439" t="s">
        <v>17</v>
      </c>
      <c r="K439">
        <v>0.17</v>
      </c>
      <c r="L439" t="s">
        <v>28</v>
      </c>
      <c r="M439" t="s">
        <v>19</v>
      </c>
      <c r="N439" t="str">
        <f t="shared" si="30"/>
        <v>North-David</v>
      </c>
      <c r="O439">
        <f t="shared" si="31"/>
        <v>71801.8</v>
      </c>
      <c r="P439">
        <f t="shared" si="32"/>
        <v>77442.12</v>
      </c>
      <c r="Q439">
        <f t="shared" si="33"/>
        <v>5640.3199999999924</v>
      </c>
      <c r="R439">
        <f t="shared" si="34"/>
        <v>7.2832716872936754</v>
      </c>
    </row>
    <row r="440" spans="1:18" x14ac:dyDescent="0.35">
      <c r="A440">
        <v>1051</v>
      </c>
      <c r="B440" s="1">
        <v>45048</v>
      </c>
      <c r="C440" t="s">
        <v>33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25</v>
      </c>
      <c r="M440" t="s">
        <v>21</v>
      </c>
      <c r="N440" t="str">
        <f t="shared" si="30"/>
        <v>North-Alice</v>
      </c>
      <c r="O440">
        <f t="shared" si="31"/>
        <v>127980.76</v>
      </c>
      <c r="P440">
        <f t="shared" si="32"/>
        <v>139413.59999999998</v>
      </c>
      <c r="Q440">
        <f t="shared" si="33"/>
        <v>11432.839999999982</v>
      </c>
      <c r="R440">
        <f t="shared" si="34"/>
        <v>8.20066334991707</v>
      </c>
    </row>
    <row r="441" spans="1:18" x14ac:dyDescent="0.35">
      <c r="A441">
        <v>1025</v>
      </c>
      <c r="B441" s="1">
        <v>44972</v>
      </c>
      <c r="C441" t="s">
        <v>22</v>
      </c>
      <c r="D441" t="s">
        <v>23</v>
      </c>
      <c r="E441">
        <v>4140.7</v>
      </c>
      <c r="F441">
        <v>45</v>
      </c>
      <c r="G441" t="s">
        <v>26</v>
      </c>
      <c r="H441">
        <v>1588.04</v>
      </c>
      <c r="I441">
        <v>1703.6399999999901</v>
      </c>
      <c r="J441" t="s">
        <v>27</v>
      </c>
      <c r="K441">
        <v>0.2</v>
      </c>
      <c r="L441" t="s">
        <v>25</v>
      </c>
      <c r="M441" t="s">
        <v>21</v>
      </c>
      <c r="N441" t="str">
        <f t="shared" si="30"/>
        <v>South-David</v>
      </c>
      <c r="O441">
        <f t="shared" si="31"/>
        <v>71461.8</v>
      </c>
      <c r="P441">
        <f t="shared" si="32"/>
        <v>76663.799999999552</v>
      </c>
      <c r="Q441">
        <f t="shared" si="33"/>
        <v>5201.9999999995489</v>
      </c>
      <c r="R441">
        <f t="shared" si="34"/>
        <v>6.7854711089191762</v>
      </c>
    </row>
    <row r="442" spans="1:18" x14ac:dyDescent="0.35">
      <c r="A442">
        <v>1058</v>
      </c>
      <c r="B442" s="1">
        <v>44990</v>
      </c>
      <c r="C442" t="s">
        <v>32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tr">
        <f t="shared" si="30"/>
        <v>North-Eve</v>
      </c>
      <c r="O442">
        <f t="shared" si="31"/>
        <v>124642.56</v>
      </c>
      <c r="P442">
        <f t="shared" si="32"/>
        <v>130322.39999999953</v>
      </c>
      <c r="Q442">
        <f t="shared" si="33"/>
        <v>5679.8399999995308</v>
      </c>
      <c r="R442">
        <f t="shared" si="34"/>
        <v>4.3582991105132747</v>
      </c>
    </row>
    <row r="443" spans="1:18" x14ac:dyDescent="0.35">
      <c r="A443">
        <v>1063</v>
      </c>
      <c r="B443" s="1">
        <v>45056</v>
      </c>
      <c r="C443" t="s">
        <v>22</v>
      </c>
      <c r="D443" t="s">
        <v>30</v>
      </c>
      <c r="E443">
        <v>5870.97</v>
      </c>
      <c r="F443">
        <v>47</v>
      </c>
      <c r="G443" t="s">
        <v>31</v>
      </c>
      <c r="H443">
        <v>4291.33</v>
      </c>
      <c r="I443">
        <v>4658.6400000000003</v>
      </c>
      <c r="J443" t="s">
        <v>27</v>
      </c>
      <c r="K443">
        <v>0.24</v>
      </c>
      <c r="L443" t="s">
        <v>28</v>
      </c>
      <c r="M443" t="s">
        <v>21</v>
      </c>
      <c r="N443" t="str">
        <f t="shared" si="30"/>
        <v>East-David</v>
      </c>
      <c r="O443">
        <f t="shared" si="31"/>
        <v>201692.51</v>
      </c>
      <c r="P443">
        <f t="shared" si="32"/>
        <v>218956.08000000002</v>
      </c>
      <c r="Q443">
        <f t="shared" si="33"/>
        <v>17263.570000000007</v>
      </c>
      <c r="R443">
        <f t="shared" si="34"/>
        <v>7.8844898940463342</v>
      </c>
    </row>
    <row r="444" spans="1:18" x14ac:dyDescent="0.35">
      <c r="A444">
        <v>1062</v>
      </c>
      <c r="B444" s="1">
        <v>45236</v>
      </c>
      <c r="C444" t="s">
        <v>22</v>
      </c>
      <c r="D444" t="s">
        <v>30</v>
      </c>
      <c r="E444">
        <v>2605.71</v>
      </c>
      <c r="F444">
        <v>25</v>
      </c>
      <c r="G444" t="s">
        <v>24</v>
      </c>
      <c r="H444">
        <v>2361.0500000000002</v>
      </c>
      <c r="I444">
        <v>2616.19</v>
      </c>
      <c r="J444" t="s">
        <v>27</v>
      </c>
      <c r="K444">
        <v>0.3</v>
      </c>
      <c r="L444" t="s">
        <v>25</v>
      </c>
      <c r="M444" t="s">
        <v>21</v>
      </c>
      <c r="N444" t="str">
        <f t="shared" si="30"/>
        <v>East-David</v>
      </c>
      <c r="O444">
        <f t="shared" si="31"/>
        <v>59026.250000000007</v>
      </c>
      <c r="P444">
        <f t="shared" si="32"/>
        <v>65404.75</v>
      </c>
      <c r="Q444">
        <f t="shared" si="33"/>
        <v>6378.4999999999927</v>
      </c>
      <c r="R444">
        <f t="shared" si="34"/>
        <v>9.7523497911084327</v>
      </c>
    </row>
    <row r="445" spans="1:18" x14ac:dyDescent="0.35">
      <c r="A445">
        <v>1022</v>
      </c>
      <c r="B445" s="1">
        <v>45289</v>
      </c>
      <c r="C445" t="s">
        <v>22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27</v>
      </c>
      <c r="K445">
        <v>0.11</v>
      </c>
      <c r="L445" t="s">
        <v>18</v>
      </c>
      <c r="M445" t="s">
        <v>19</v>
      </c>
      <c r="N445" t="str">
        <f t="shared" si="30"/>
        <v>North-David</v>
      </c>
      <c r="O445">
        <f t="shared" si="31"/>
        <v>18306.099999999999</v>
      </c>
      <c r="P445">
        <f t="shared" si="32"/>
        <v>20440.400000000001</v>
      </c>
      <c r="Q445">
        <f t="shared" si="33"/>
        <v>2134.3000000000029</v>
      </c>
      <c r="R445">
        <f t="shared" si="34"/>
        <v>10.44157648578307</v>
      </c>
    </row>
    <row r="446" spans="1:18" x14ac:dyDescent="0.35">
      <c r="A446">
        <v>1058</v>
      </c>
      <c r="B446" s="1">
        <v>45119</v>
      </c>
      <c r="C446" t="s">
        <v>32</v>
      </c>
      <c r="D446" t="s">
        <v>30</v>
      </c>
      <c r="E446">
        <v>9580.0499999999993</v>
      </c>
      <c r="F446">
        <v>14</v>
      </c>
      <c r="G446" t="s">
        <v>31</v>
      </c>
      <c r="H446">
        <v>2703.97</v>
      </c>
      <c r="I446">
        <v>2796.8799999999901</v>
      </c>
      <c r="J446" t="s">
        <v>27</v>
      </c>
      <c r="K446">
        <v>0.13</v>
      </c>
      <c r="L446" t="s">
        <v>25</v>
      </c>
      <c r="M446" t="s">
        <v>19</v>
      </c>
      <c r="N446" t="str">
        <f t="shared" si="30"/>
        <v>East-Eve</v>
      </c>
      <c r="O446">
        <f t="shared" si="31"/>
        <v>37855.579999999994</v>
      </c>
      <c r="P446">
        <f t="shared" si="32"/>
        <v>39156.319999999861</v>
      </c>
      <c r="Q446">
        <f t="shared" si="33"/>
        <v>1300.739999999867</v>
      </c>
      <c r="R446">
        <f t="shared" si="34"/>
        <v>3.3219158490886564</v>
      </c>
    </row>
    <row r="447" spans="1:18" x14ac:dyDescent="0.35">
      <c r="A447">
        <v>1058</v>
      </c>
      <c r="B447" s="1">
        <v>45233</v>
      </c>
      <c r="C447" t="s">
        <v>22</v>
      </c>
      <c r="D447" t="s">
        <v>20</v>
      </c>
      <c r="E447">
        <v>4050.45</v>
      </c>
      <c r="F447">
        <v>42</v>
      </c>
      <c r="G447" t="s">
        <v>26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21</v>
      </c>
      <c r="N447" t="str">
        <f t="shared" si="30"/>
        <v>West-David</v>
      </c>
      <c r="O447">
        <f t="shared" si="31"/>
        <v>151239.9</v>
      </c>
      <c r="P447">
        <f t="shared" si="32"/>
        <v>155519.27999999959</v>
      </c>
      <c r="Q447">
        <f t="shared" si="33"/>
        <v>4279.3799999995972</v>
      </c>
      <c r="R447">
        <f t="shared" si="34"/>
        <v>2.7516716898378184</v>
      </c>
    </row>
    <row r="448" spans="1:18" x14ac:dyDescent="0.3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26</v>
      </c>
      <c r="H448">
        <v>2245.64</v>
      </c>
      <c r="I448">
        <v>2260.81</v>
      </c>
      <c r="J448" t="s">
        <v>27</v>
      </c>
      <c r="K448">
        <v>0</v>
      </c>
      <c r="L448" t="s">
        <v>18</v>
      </c>
      <c r="M448" t="s">
        <v>21</v>
      </c>
      <c r="N448" t="str">
        <f t="shared" si="30"/>
        <v>North-Bob</v>
      </c>
      <c r="O448">
        <f t="shared" si="31"/>
        <v>103299.43999999999</v>
      </c>
      <c r="P448">
        <f t="shared" si="32"/>
        <v>103997.26</v>
      </c>
      <c r="Q448">
        <f t="shared" si="33"/>
        <v>697.82000000000698</v>
      </c>
      <c r="R448">
        <f t="shared" si="34"/>
        <v>0.67099844745910331</v>
      </c>
    </row>
    <row r="449" spans="1:18" x14ac:dyDescent="0.35">
      <c r="A449">
        <v>1049</v>
      </c>
      <c r="B449" s="1">
        <v>45218</v>
      </c>
      <c r="C449" t="s">
        <v>32</v>
      </c>
      <c r="D449" t="s">
        <v>23</v>
      </c>
      <c r="E449">
        <v>1966.55</v>
      </c>
      <c r="F449">
        <v>30</v>
      </c>
      <c r="G449" t="s">
        <v>26</v>
      </c>
      <c r="H449">
        <v>4697.4399999999996</v>
      </c>
      <c r="I449">
        <v>4752.24</v>
      </c>
      <c r="J449" t="s">
        <v>27</v>
      </c>
      <c r="K449">
        <v>0.28000000000000003</v>
      </c>
      <c r="L449" t="s">
        <v>28</v>
      </c>
      <c r="M449" t="s">
        <v>19</v>
      </c>
      <c r="N449" t="str">
        <f t="shared" si="30"/>
        <v>South-Eve</v>
      </c>
      <c r="O449">
        <f t="shared" si="31"/>
        <v>140923.19999999998</v>
      </c>
      <c r="P449">
        <f t="shared" si="32"/>
        <v>142567.19999999998</v>
      </c>
      <c r="Q449">
        <f t="shared" si="33"/>
        <v>1644</v>
      </c>
      <c r="R449">
        <f t="shared" si="34"/>
        <v>1.1531404137838157</v>
      </c>
    </row>
    <row r="450" spans="1:18" x14ac:dyDescent="0.35">
      <c r="A450">
        <v>1052</v>
      </c>
      <c r="B450" s="1">
        <v>45208</v>
      </c>
      <c r="C450" t="s">
        <v>22</v>
      </c>
      <c r="D450" t="s">
        <v>20</v>
      </c>
      <c r="E450">
        <v>6757.36</v>
      </c>
      <c r="F450">
        <v>41</v>
      </c>
      <c r="G450" t="s">
        <v>31</v>
      </c>
      <c r="H450">
        <v>1509.98</v>
      </c>
      <c r="I450">
        <v>1792.83</v>
      </c>
      <c r="J450" t="s">
        <v>27</v>
      </c>
      <c r="K450">
        <v>0.04</v>
      </c>
      <c r="L450" t="s">
        <v>18</v>
      </c>
      <c r="M450" t="s">
        <v>21</v>
      </c>
      <c r="N450" t="str">
        <f t="shared" si="30"/>
        <v>West-David</v>
      </c>
      <c r="O450">
        <f t="shared" si="31"/>
        <v>61909.18</v>
      </c>
      <c r="P450">
        <f t="shared" si="32"/>
        <v>73506.03</v>
      </c>
      <c r="Q450">
        <f t="shared" si="33"/>
        <v>11596.849999999999</v>
      </c>
      <c r="R450">
        <f t="shared" si="34"/>
        <v>15.776732874840334</v>
      </c>
    </row>
    <row r="451" spans="1:18" x14ac:dyDescent="0.35">
      <c r="A451">
        <v>1042</v>
      </c>
      <c r="B451" s="1">
        <v>44955</v>
      </c>
      <c r="C451" t="s">
        <v>32</v>
      </c>
      <c r="D451" t="s">
        <v>15</v>
      </c>
      <c r="E451">
        <v>9772.3700000000008</v>
      </c>
      <c r="F451">
        <v>25</v>
      </c>
      <c r="G451" t="s">
        <v>24</v>
      </c>
      <c r="H451">
        <v>2403.54</v>
      </c>
      <c r="I451">
        <v>2850.56</v>
      </c>
      <c r="J451" t="s">
        <v>27</v>
      </c>
      <c r="K451">
        <v>0.13</v>
      </c>
      <c r="L451" t="s">
        <v>25</v>
      </c>
      <c r="M451" t="s">
        <v>19</v>
      </c>
      <c r="N451" t="str">
        <f t="shared" ref="N451:N514" si="35">D451 &amp; "-" &amp; C451</f>
        <v>North-Eve</v>
      </c>
      <c r="O451">
        <f t="shared" ref="O451:O514" si="36">F451*H451</f>
        <v>60088.5</v>
      </c>
      <c r="P451">
        <f t="shared" ref="P451:P514" si="37">F451*I451</f>
        <v>71264</v>
      </c>
      <c r="Q451">
        <f t="shared" ref="Q451:Q514" si="38">P451-O451</f>
        <v>11175.5</v>
      </c>
      <c r="R451">
        <f t="shared" ref="R451:R514" si="39">(Q451/P451)*100</f>
        <v>15.681830938482264</v>
      </c>
    </row>
    <row r="452" spans="1:18" x14ac:dyDescent="0.35">
      <c r="A452">
        <v>1070</v>
      </c>
      <c r="B452" s="1">
        <v>45075</v>
      </c>
      <c r="C452" t="s">
        <v>29</v>
      </c>
      <c r="D452" t="s">
        <v>23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25</v>
      </c>
      <c r="M452" t="s">
        <v>19</v>
      </c>
      <c r="N452" t="str">
        <f t="shared" si="35"/>
        <v>South-Charlie</v>
      </c>
      <c r="O452">
        <f t="shared" si="36"/>
        <v>53155.06</v>
      </c>
      <c r="P452">
        <f t="shared" si="37"/>
        <v>55265</v>
      </c>
      <c r="Q452">
        <f t="shared" si="38"/>
        <v>2109.9400000000023</v>
      </c>
      <c r="R452">
        <f t="shared" si="39"/>
        <v>3.8178594046865149</v>
      </c>
    </row>
    <row r="453" spans="1:18" x14ac:dyDescent="0.35">
      <c r="A453">
        <v>1015</v>
      </c>
      <c r="B453" s="1">
        <v>45193</v>
      </c>
      <c r="C453" t="s">
        <v>14</v>
      </c>
      <c r="D453" t="s">
        <v>30</v>
      </c>
      <c r="E453">
        <v>182.37</v>
      </c>
      <c r="F453">
        <v>35</v>
      </c>
      <c r="G453" t="s">
        <v>26</v>
      </c>
      <c r="H453">
        <v>3461.15</v>
      </c>
      <c r="I453">
        <v>3631.75</v>
      </c>
      <c r="J453" t="s">
        <v>17</v>
      </c>
      <c r="K453">
        <v>0.27</v>
      </c>
      <c r="L453" t="s">
        <v>28</v>
      </c>
      <c r="M453" t="s">
        <v>19</v>
      </c>
      <c r="N453" t="str">
        <f t="shared" si="35"/>
        <v>East-Bob</v>
      </c>
      <c r="O453">
        <f t="shared" si="36"/>
        <v>121140.25</v>
      </c>
      <c r="P453">
        <f t="shared" si="37"/>
        <v>127111.25</v>
      </c>
      <c r="Q453">
        <f t="shared" si="38"/>
        <v>5971</v>
      </c>
      <c r="R453">
        <f t="shared" si="39"/>
        <v>4.6974599022509809</v>
      </c>
    </row>
    <row r="454" spans="1:18" x14ac:dyDescent="0.35">
      <c r="A454">
        <v>1054</v>
      </c>
      <c r="B454" s="1">
        <v>45222</v>
      </c>
      <c r="C454" t="s">
        <v>22</v>
      </c>
      <c r="D454" t="s">
        <v>23</v>
      </c>
      <c r="E454">
        <v>4392.47</v>
      </c>
      <c r="F454">
        <v>48</v>
      </c>
      <c r="G454" t="s">
        <v>31</v>
      </c>
      <c r="H454">
        <v>4325.0200000000004</v>
      </c>
      <c r="I454">
        <v>4391.67</v>
      </c>
      <c r="J454" t="s">
        <v>17</v>
      </c>
      <c r="K454">
        <v>0.16</v>
      </c>
      <c r="L454" t="s">
        <v>28</v>
      </c>
      <c r="M454" t="s">
        <v>21</v>
      </c>
      <c r="N454" t="str">
        <f t="shared" si="35"/>
        <v>South-David</v>
      </c>
      <c r="O454">
        <f t="shared" si="36"/>
        <v>207600.96000000002</v>
      </c>
      <c r="P454">
        <f t="shared" si="37"/>
        <v>210800.16</v>
      </c>
      <c r="Q454">
        <f t="shared" si="38"/>
        <v>3199.1999999999825</v>
      </c>
      <c r="R454">
        <f t="shared" si="39"/>
        <v>1.5176459069101194</v>
      </c>
    </row>
    <row r="455" spans="1:18" x14ac:dyDescent="0.35">
      <c r="A455">
        <v>1060</v>
      </c>
      <c r="B455" s="1">
        <v>44937</v>
      </c>
      <c r="C455" t="s">
        <v>29</v>
      </c>
      <c r="D455" t="s">
        <v>20</v>
      </c>
      <c r="E455">
        <v>1016.99</v>
      </c>
      <c r="F455">
        <v>34</v>
      </c>
      <c r="G455" t="s">
        <v>31</v>
      </c>
      <c r="H455">
        <v>4984.21</v>
      </c>
      <c r="I455">
        <v>5184.6400000000003</v>
      </c>
      <c r="J455" t="s">
        <v>27</v>
      </c>
      <c r="K455">
        <v>0.17</v>
      </c>
      <c r="L455" t="s">
        <v>18</v>
      </c>
      <c r="M455" t="s">
        <v>19</v>
      </c>
      <c r="N455" t="str">
        <f t="shared" si="35"/>
        <v>West-Charlie</v>
      </c>
      <c r="O455">
        <f t="shared" si="36"/>
        <v>169463.14</v>
      </c>
      <c r="P455">
        <f t="shared" si="37"/>
        <v>176277.76000000001</v>
      </c>
      <c r="Q455">
        <f t="shared" si="38"/>
        <v>6814.6199999999953</v>
      </c>
      <c r="R455">
        <f t="shared" si="39"/>
        <v>3.8658421799777778</v>
      </c>
    </row>
    <row r="456" spans="1:18" x14ac:dyDescent="0.35">
      <c r="A456">
        <v>1097</v>
      </c>
      <c r="B456" s="1">
        <v>45090</v>
      </c>
      <c r="C456" t="s">
        <v>29</v>
      </c>
      <c r="D456" t="s">
        <v>30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28</v>
      </c>
      <c r="M456" t="s">
        <v>19</v>
      </c>
      <c r="N456" t="str">
        <f t="shared" si="35"/>
        <v>East-Charlie</v>
      </c>
      <c r="O456">
        <f t="shared" si="36"/>
        <v>21629.5</v>
      </c>
      <c r="P456">
        <f t="shared" si="37"/>
        <v>21911.8999999999</v>
      </c>
      <c r="Q456">
        <f t="shared" si="38"/>
        <v>282.39999999989959</v>
      </c>
      <c r="R456">
        <f t="shared" si="39"/>
        <v>1.2887974114517724</v>
      </c>
    </row>
    <row r="457" spans="1:18" x14ac:dyDescent="0.35">
      <c r="A457">
        <v>1008</v>
      </c>
      <c r="B457" s="1">
        <v>45039</v>
      </c>
      <c r="C457" t="s">
        <v>32</v>
      </c>
      <c r="D457" t="s">
        <v>15</v>
      </c>
      <c r="E457">
        <v>9154.0300000000007</v>
      </c>
      <c r="F457">
        <v>35</v>
      </c>
      <c r="G457" t="s">
        <v>26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25</v>
      </c>
      <c r="M457" t="s">
        <v>21</v>
      </c>
      <c r="N457" t="str">
        <f t="shared" si="35"/>
        <v>North-Eve</v>
      </c>
      <c r="O457">
        <f t="shared" si="36"/>
        <v>21007</v>
      </c>
      <c r="P457">
        <f t="shared" si="37"/>
        <v>37093.699999999997</v>
      </c>
      <c r="Q457">
        <f t="shared" si="38"/>
        <v>16086.699999999997</v>
      </c>
      <c r="R457">
        <f t="shared" si="39"/>
        <v>43.367741691985429</v>
      </c>
    </row>
    <row r="458" spans="1:18" x14ac:dyDescent="0.35">
      <c r="A458">
        <v>1053</v>
      </c>
      <c r="B458" s="1">
        <v>45113</v>
      </c>
      <c r="C458" t="s">
        <v>29</v>
      </c>
      <c r="D458" t="s">
        <v>30</v>
      </c>
      <c r="E458">
        <v>4396.8100000000004</v>
      </c>
      <c r="F458">
        <v>11</v>
      </c>
      <c r="G458" t="s">
        <v>31</v>
      </c>
      <c r="H458">
        <v>200.56</v>
      </c>
      <c r="I458">
        <v>540.38</v>
      </c>
      <c r="J458" t="s">
        <v>27</v>
      </c>
      <c r="K458">
        <v>0.18</v>
      </c>
      <c r="L458" t="s">
        <v>25</v>
      </c>
      <c r="M458" t="s">
        <v>19</v>
      </c>
      <c r="N458" t="str">
        <f t="shared" si="35"/>
        <v>East-Charlie</v>
      </c>
      <c r="O458">
        <f t="shared" si="36"/>
        <v>2206.16</v>
      </c>
      <c r="P458">
        <f t="shared" si="37"/>
        <v>5944.18</v>
      </c>
      <c r="Q458">
        <f t="shared" si="38"/>
        <v>3738.0200000000004</v>
      </c>
      <c r="R458">
        <f t="shared" si="39"/>
        <v>62.885376956956222</v>
      </c>
    </row>
    <row r="459" spans="1:18" x14ac:dyDescent="0.3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28</v>
      </c>
      <c r="M459" t="s">
        <v>21</v>
      </c>
      <c r="N459" t="str">
        <f t="shared" si="35"/>
        <v>North-Bob</v>
      </c>
      <c r="O459">
        <f t="shared" si="36"/>
        <v>40128.44</v>
      </c>
      <c r="P459">
        <f t="shared" si="37"/>
        <v>45578.61</v>
      </c>
      <c r="Q459">
        <f t="shared" si="38"/>
        <v>5450.1699999999983</v>
      </c>
      <c r="R459">
        <f t="shared" si="39"/>
        <v>11.957736315346164</v>
      </c>
    </row>
    <row r="460" spans="1:18" x14ac:dyDescent="0.3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24</v>
      </c>
      <c r="H460">
        <v>4376.37</v>
      </c>
      <c r="I460">
        <v>4818.95</v>
      </c>
      <c r="J460" t="s">
        <v>27</v>
      </c>
      <c r="K460">
        <v>0</v>
      </c>
      <c r="L460" t="s">
        <v>28</v>
      </c>
      <c r="M460" t="s">
        <v>21</v>
      </c>
      <c r="N460" t="str">
        <f t="shared" si="35"/>
        <v>North-Bob</v>
      </c>
      <c r="O460">
        <f t="shared" si="36"/>
        <v>91903.77</v>
      </c>
      <c r="P460">
        <f t="shared" si="37"/>
        <v>101197.95</v>
      </c>
      <c r="Q460">
        <f t="shared" si="38"/>
        <v>9294.179999999993</v>
      </c>
      <c r="R460">
        <f t="shared" si="39"/>
        <v>9.1841583747496784</v>
      </c>
    </row>
    <row r="461" spans="1:18" x14ac:dyDescent="0.35">
      <c r="A461">
        <v>1068</v>
      </c>
      <c r="B461" s="1">
        <v>45153</v>
      </c>
      <c r="C461" t="s">
        <v>33</v>
      </c>
      <c r="D461" t="s">
        <v>23</v>
      </c>
      <c r="E461">
        <v>7262.13</v>
      </c>
      <c r="F461">
        <v>21</v>
      </c>
      <c r="G461" t="s">
        <v>24</v>
      </c>
      <c r="H461">
        <v>1142.53</v>
      </c>
      <c r="I461">
        <v>1384.3</v>
      </c>
      <c r="J461" t="s">
        <v>17</v>
      </c>
      <c r="K461">
        <v>0.02</v>
      </c>
      <c r="L461" t="s">
        <v>28</v>
      </c>
      <c r="M461" t="s">
        <v>21</v>
      </c>
      <c r="N461" t="str">
        <f t="shared" si="35"/>
        <v>South-Alice</v>
      </c>
      <c r="O461">
        <f t="shared" si="36"/>
        <v>23993.13</v>
      </c>
      <c r="P461">
        <f t="shared" si="37"/>
        <v>29070.3</v>
      </c>
      <c r="Q461">
        <f t="shared" si="38"/>
        <v>5077.1699999999983</v>
      </c>
      <c r="R461">
        <f t="shared" si="39"/>
        <v>17.465144838546554</v>
      </c>
    </row>
    <row r="462" spans="1:18" x14ac:dyDescent="0.35">
      <c r="A462">
        <v>1006</v>
      </c>
      <c r="B462" s="1">
        <v>45236</v>
      </c>
      <c r="C462" t="s">
        <v>14</v>
      </c>
      <c r="D462" t="s">
        <v>23</v>
      </c>
      <c r="E462">
        <v>189.64</v>
      </c>
      <c r="F462">
        <v>22</v>
      </c>
      <c r="G462" t="s">
        <v>24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tr">
        <f t="shared" si="35"/>
        <v>South-Bob</v>
      </c>
      <c r="O462">
        <f t="shared" si="36"/>
        <v>18355.04</v>
      </c>
      <c r="P462">
        <f t="shared" si="37"/>
        <v>24177.34</v>
      </c>
      <c r="Q462">
        <f t="shared" si="38"/>
        <v>5822.2999999999993</v>
      </c>
      <c r="R462">
        <f t="shared" si="39"/>
        <v>24.081640081166906</v>
      </c>
    </row>
    <row r="463" spans="1:18" x14ac:dyDescent="0.35">
      <c r="A463">
        <v>1096</v>
      </c>
      <c r="B463" s="1">
        <v>45024</v>
      </c>
      <c r="C463" t="s">
        <v>29</v>
      </c>
      <c r="D463" t="s">
        <v>23</v>
      </c>
      <c r="E463">
        <v>5935.59</v>
      </c>
      <c r="F463">
        <v>45</v>
      </c>
      <c r="G463" t="s">
        <v>26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tr">
        <f t="shared" si="35"/>
        <v>South-Charlie</v>
      </c>
      <c r="O463">
        <f t="shared" si="36"/>
        <v>16106.400000000001</v>
      </c>
      <c r="P463">
        <f t="shared" si="37"/>
        <v>20758.5</v>
      </c>
      <c r="Q463">
        <f t="shared" si="38"/>
        <v>4652.0999999999985</v>
      </c>
      <c r="R463">
        <f t="shared" si="39"/>
        <v>22.410578799046167</v>
      </c>
    </row>
    <row r="464" spans="1:18" x14ac:dyDescent="0.35">
      <c r="A464">
        <v>1094</v>
      </c>
      <c r="B464" s="1">
        <v>44981</v>
      </c>
      <c r="C464" t="s">
        <v>14</v>
      </c>
      <c r="D464" t="s">
        <v>20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25</v>
      </c>
      <c r="M464" t="s">
        <v>21</v>
      </c>
      <c r="N464" t="str">
        <f t="shared" si="35"/>
        <v>West-Bob</v>
      </c>
      <c r="O464">
        <f t="shared" si="36"/>
        <v>28856.66</v>
      </c>
      <c r="P464">
        <f t="shared" si="37"/>
        <v>30511.46</v>
      </c>
      <c r="Q464">
        <f t="shared" si="38"/>
        <v>1654.7999999999993</v>
      </c>
      <c r="R464">
        <f t="shared" si="39"/>
        <v>5.4235359435438335</v>
      </c>
    </row>
    <row r="465" spans="1:18" x14ac:dyDescent="0.35">
      <c r="A465">
        <v>1047</v>
      </c>
      <c r="B465" s="1">
        <v>45037</v>
      </c>
      <c r="C465" t="s">
        <v>32</v>
      </c>
      <c r="D465" t="s">
        <v>20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27</v>
      </c>
      <c r="K465">
        <v>0.28999999999999998</v>
      </c>
      <c r="L465" t="s">
        <v>18</v>
      </c>
      <c r="M465" t="s">
        <v>21</v>
      </c>
      <c r="N465" t="str">
        <f t="shared" si="35"/>
        <v>West-Eve</v>
      </c>
      <c r="O465">
        <f t="shared" si="36"/>
        <v>27052.78</v>
      </c>
      <c r="P465">
        <f t="shared" si="37"/>
        <v>34744.94</v>
      </c>
      <c r="Q465">
        <f t="shared" si="38"/>
        <v>7692.1600000000035</v>
      </c>
      <c r="R465">
        <f t="shared" si="39"/>
        <v>22.138935914121603</v>
      </c>
    </row>
    <row r="466" spans="1:18" x14ac:dyDescent="0.35">
      <c r="A466">
        <v>1099</v>
      </c>
      <c r="B466" s="1">
        <v>45078</v>
      </c>
      <c r="C466" t="s">
        <v>33</v>
      </c>
      <c r="D466" t="s">
        <v>23</v>
      </c>
      <c r="E466">
        <v>2496.02</v>
      </c>
      <c r="F466">
        <v>2</v>
      </c>
      <c r="G466" t="s">
        <v>31</v>
      </c>
      <c r="H466">
        <v>2038.4</v>
      </c>
      <c r="I466">
        <v>2073.3200000000002</v>
      </c>
      <c r="J466" t="s">
        <v>27</v>
      </c>
      <c r="K466">
        <v>0.16</v>
      </c>
      <c r="L466" t="s">
        <v>18</v>
      </c>
      <c r="M466" t="s">
        <v>21</v>
      </c>
      <c r="N466" t="str">
        <f t="shared" si="35"/>
        <v>South-Alice</v>
      </c>
      <c r="O466">
        <f t="shared" si="36"/>
        <v>4076.8</v>
      </c>
      <c r="P466">
        <f t="shared" si="37"/>
        <v>4146.6400000000003</v>
      </c>
      <c r="Q466">
        <f t="shared" si="38"/>
        <v>69.840000000000146</v>
      </c>
      <c r="R466">
        <f t="shared" si="39"/>
        <v>1.6842552042135355</v>
      </c>
    </row>
    <row r="467" spans="1:18" x14ac:dyDescent="0.35">
      <c r="A467">
        <v>1055</v>
      </c>
      <c r="B467" s="1">
        <v>45172</v>
      </c>
      <c r="C467" t="s">
        <v>29</v>
      </c>
      <c r="D467" t="s">
        <v>20</v>
      </c>
      <c r="E467">
        <v>7169.12</v>
      </c>
      <c r="F467">
        <v>12</v>
      </c>
      <c r="G467" t="s">
        <v>31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tr">
        <f t="shared" si="35"/>
        <v>West-Charlie</v>
      </c>
      <c r="O467">
        <f t="shared" si="36"/>
        <v>30463.32</v>
      </c>
      <c r="P467">
        <f t="shared" si="37"/>
        <v>35661</v>
      </c>
      <c r="Q467">
        <f t="shared" si="38"/>
        <v>5197.68</v>
      </c>
      <c r="R467">
        <f t="shared" si="39"/>
        <v>14.575250273407924</v>
      </c>
    </row>
    <row r="468" spans="1:18" x14ac:dyDescent="0.35">
      <c r="A468">
        <v>1040</v>
      </c>
      <c r="B468" s="1">
        <v>44995</v>
      </c>
      <c r="C468" t="s">
        <v>33</v>
      </c>
      <c r="D468" t="s">
        <v>30</v>
      </c>
      <c r="E468">
        <v>1004.78</v>
      </c>
      <c r="F468">
        <v>42</v>
      </c>
      <c r="G468" t="s">
        <v>31</v>
      </c>
      <c r="H468">
        <v>4205.29</v>
      </c>
      <c r="I468">
        <v>4382.3500000000004</v>
      </c>
      <c r="J468" t="s">
        <v>27</v>
      </c>
      <c r="K468">
        <v>0.25</v>
      </c>
      <c r="L468" t="s">
        <v>18</v>
      </c>
      <c r="M468" t="s">
        <v>21</v>
      </c>
      <c r="N468" t="str">
        <f t="shared" si="35"/>
        <v>East-Alice</v>
      </c>
      <c r="O468">
        <f t="shared" si="36"/>
        <v>176622.18</v>
      </c>
      <c r="P468">
        <f t="shared" si="37"/>
        <v>184058.7</v>
      </c>
      <c r="Q468">
        <f t="shared" si="38"/>
        <v>7436.5200000000186</v>
      </c>
      <c r="R468">
        <f t="shared" si="39"/>
        <v>4.0402980136228379</v>
      </c>
    </row>
    <row r="469" spans="1:18" x14ac:dyDescent="0.35">
      <c r="A469">
        <v>1052</v>
      </c>
      <c r="B469" s="1">
        <v>45238</v>
      </c>
      <c r="C469" t="s">
        <v>29</v>
      </c>
      <c r="D469" t="s">
        <v>30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25</v>
      </c>
      <c r="M469" t="s">
        <v>21</v>
      </c>
      <c r="N469" t="str">
        <f t="shared" si="35"/>
        <v>East-Charlie</v>
      </c>
      <c r="O469">
        <f t="shared" si="36"/>
        <v>58889.159999999996</v>
      </c>
      <c r="P469">
        <f t="shared" si="37"/>
        <v>67002.84</v>
      </c>
      <c r="Q469">
        <f t="shared" si="38"/>
        <v>8113.68</v>
      </c>
      <c r="R469">
        <f t="shared" si="39"/>
        <v>12.1094568528737</v>
      </c>
    </row>
    <row r="470" spans="1:18" x14ac:dyDescent="0.35">
      <c r="A470">
        <v>1016</v>
      </c>
      <c r="B470" s="1">
        <v>45215</v>
      </c>
      <c r="C470" t="s">
        <v>32</v>
      </c>
      <c r="D470" t="s">
        <v>20</v>
      </c>
      <c r="E470">
        <v>8786.9500000000007</v>
      </c>
      <c r="F470">
        <v>11</v>
      </c>
      <c r="G470" t="s">
        <v>31</v>
      </c>
      <c r="H470">
        <v>3094.57</v>
      </c>
      <c r="I470">
        <v>3565.6</v>
      </c>
      <c r="J470" t="s">
        <v>17</v>
      </c>
      <c r="K470">
        <v>0.1</v>
      </c>
      <c r="L470" t="s">
        <v>28</v>
      </c>
      <c r="M470" t="s">
        <v>21</v>
      </c>
      <c r="N470" t="str">
        <f t="shared" si="35"/>
        <v>West-Eve</v>
      </c>
      <c r="O470">
        <f t="shared" si="36"/>
        <v>34040.270000000004</v>
      </c>
      <c r="P470">
        <f t="shared" si="37"/>
        <v>39221.599999999999</v>
      </c>
      <c r="Q470">
        <f t="shared" si="38"/>
        <v>5181.3299999999945</v>
      </c>
      <c r="R470">
        <f t="shared" si="39"/>
        <v>13.210399371774722</v>
      </c>
    </row>
    <row r="471" spans="1:18" x14ac:dyDescent="0.35">
      <c r="A471">
        <v>1013</v>
      </c>
      <c r="B471" s="1">
        <v>45176</v>
      </c>
      <c r="C471" t="s">
        <v>33</v>
      </c>
      <c r="D471" t="s">
        <v>20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25</v>
      </c>
      <c r="M471" t="s">
        <v>19</v>
      </c>
      <c r="N471" t="str">
        <f t="shared" si="35"/>
        <v>West-Alice</v>
      </c>
      <c r="O471">
        <f t="shared" si="36"/>
        <v>14713.28</v>
      </c>
      <c r="P471">
        <f t="shared" si="37"/>
        <v>20132.8</v>
      </c>
      <c r="Q471">
        <f t="shared" si="38"/>
        <v>5419.5199999999986</v>
      </c>
      <c r="R471">
        <f t="shared" si="39"/>
        <v>26.918858777715961</v>
      </c>
    </row>
    <row r="472" spans="1:18" x14ac:dyDescent="0.35">
      <c r="A472">
        <v>1030</v>
      </c>
      <c r="B472" s="1">
        <v>44962</v>
      </c>
      <c r="C472" t="s">
        <v>22</v>
      </c>
      <c r="D472" t="s">
        <v>30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21</v>
      </c>
      <c r="N472" t="str">
        <f t="shared" si="35"/>
        <v>East-David</v>
      </c>
      <c r="O472">
        <f t="shared" si="36"/>
        <v>126924.20999999999</v>
      </c>
      <c r="P472">
        <f t="shared" si="37"/>
        <v>143367.14000000001</v>
      </c>
      <c r="Q472">
        <f t="shared" si="38"/>
        <v>16442.930000000022</v>
      </c>
      <c r="R472">
        <f t="shared" si="39"/>
        <v>11.469106519108927</v>
      </c>
    </row>
    <row r="473" spans="1:18" x14ac:dyDescent="0.35">
      <c r="A473">
        <v>1019</v>
      </c>
      <c r="B473" s="1">
        <v>45165</v>
      </c>
      <c r="C473" t="s">
        <v>29</v>
      </c>
      <c r="D473" t="s">
        <v>15</v>
      </c>
      <c r="E473">
        <v>2558.92</v>
      </c>
      <c r="F473">
        <v>18</v>
      </c>
      <c r="G473" t="s">
        <v>24</v>
      </c>
      <c r="H473">
        <v>3591.14</v>
      </c>
      <c r="I473">
        <v>3822.99</v>
      </c>
      <c r="J473" t="s">
        <v>17</v>
      </c>
      <c r="K473">
        <v>0.09</v>
      </c>
      <c r="L473" t="s">
        <v>28</v>
      </c>
      <c r="M473" t="s">
        <v>19</v>
      </c>
      <c r="N473" t="str">
        <f t="shared" si="35"/>
        <v>North-Charlie</v>
      </c>
      <c r="O473">
        <f t="shared" si="36"/>
        <v>64640.52</v>
      </c>
      <c r="P473">
        <f t="shared" si="37"/>
        <v>68813.819999999992</v>
      </c>
      <c r="Q473">
        <f t="shared" si="38"/>
        <v>4173.2999999999956</v>
      </c>
      <c r="R473">
        <f t="shared" si="39"/>
        <v>6.0646248093769479</v>
      </c>
    </row>
    <row r="474" spans="1:18" x14ac:dyDescent="0.35">
      <c r="A474">
        <v>1017</v>
      </c>
      <c r="B474" s="1">
        <v>45074</v>
      </c>
      <c r="C474" t="s">
        <v>22</v>
      </c>
      <c r="D474" t="s">
        <v>30</v>
      </c>
      <c r="E474">
        <v>2222.62</v>
      </c>
      <c r="F474">
        <v>35</v>
      </c>
      <c r="G474" t="s">
        <v>31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28</v>
      </c>
      <c r="M474" t="s">
        <v>19</v>
      </c>
      <c r="N474" t="str">
        <f t="shared" si="35"/>
        <v>East-David</v>
      </c>
      <c r="O474">
        <f t="shared" si="36"/>
        <v>170367.40000000002</v>
      </c>
      <c r="P474">
        <f t="shared" si="37"/>
        <v>185046.75</v>
      </c>
      <c r="Q474">
        <f t="shared" si="38"/>
        <v>14679.349999999977</v>
      </c>
      <c r="R474">
        <f t="shared" si="39"/>
        <v>7.9327791490528616</v>
      </c>
    </row>
    <row r="475" spans="1:18" x14ac:dyDescent="0.35">
      <c r="A475">
        <v>1063</v>
      </c>
      <c r="B475" s="1">
        <v>45153</v>
      </c>
      <c r="C475" t="s">
        <v>33</v>
      </c>
      <c r="D475" t="s">
        <v>30</v>
      </c>
      <c r="E475">
        <v>2780.98</v>
      </c>
      <c r="F475">
        <v>26</v>
      </c>
      <c r="G475" t="s">
        <v>24</v>
      </c>
      <c r="H475">
        <v>1046.96</v>
      </c>
      <c r="I475">
        <v>1528.15</v>
      </c>
      <c r="J475" t="s">
        <v>27</v>
      </c>
      <c r="K475">
        <v>7.0000000000000007E-2</v>
      </c>
      <c r="L475" t="s">
        <v>28</v>
      </c>
      <c r="M475" t="s">
        <v>21</v>
      </c>
      <c r="N475" t="str">
        <f t="shared" si="35"/>
        <v>East-Alice</v>
      </c>
      <c r="O475">
        <f t="shared" si="36"/>
        <v>27220.959999999999</v>
      </c>
      <c r="P475">
        <f t="shared" si="37"/>
        <v>39731.9</v>
      </c>
      <c r="Q475">
        <f t="shared" si="38"/>
        <v>12510.940000000002</v>
      </c>
      <c r="R475">
        <f t="shared" si="39"/>
        <v>31.488401007754479</v>
      </c>
    </row>
    <row r="476" spans="1:18" x14ac:dyDescent="0.35">
      <c r="A476">
        <v>1019</v>
      </c>
      <c r="B476" s="1">
        <v>45170</v>
      </c>
      <c r="C476" t="s">
        <v>22</v>
      </c>
      <c r="D476" t="s">
        <v>20</v>
      </c>
      <c r="E476">
        <v>2550.84</v>
      </c>
      <c r="F476">
        <v>16</v>
      </c>
      <c r="G476" t="s">
        <v>26</v>
      </c>
      <c r="H476">
        <v>97.24</v>
      </c>
      <c r="I476">
        <v>487.03</v>
      </c>
      <c r="J476" t="s">
        <v>27</v>
      </c>
      <c r="K476">
        <v>0.22</v>
      </c>
      <c r="L476" t="s">
        <v>25</v>
      </c>
      <c r="M476" t="s">
        <v>21</v>
      </c>
      <c r="N476" t="str">
        <f t="shared" si="35"/>
        <v>West-David</v>
      </c>
      <c r="O476">
        <f t="shared" si="36"/>
        <v>1555.84</v>
      </c>
      <c r="P476">
        <f t="shared" si="37"/>
        <v>7792.48</v>
      </c>
      <c r="Q476">
        <f t="shared" si="38"/>
        <v>6236.6399999999994</v>
      </c>
      <c r="R476">
        <f t="shared" si="39"/>
        <v>80.034084142660618</v>
      </c>
    </row>
    <row r="477" spans="1:18" x14ac:dyDescent="0.35">
      <c r="A477">
        <v>1092</v>
      </c>
      <c r="B477" s="1">
        <v>45263</v>
      </c>
      <c r="C477" t="s">
        <v>22</v>
      </c>
      <c r="D477" t="s">
        <v>30</v>
      </c>
      <c r="E477">
        <v>719.01</v>
      </c>
      <c r="F477">
        <v>6</v>
      </c>
      <c r="G477" t="s">
        <v>26</v>
      </c>
      <c r="H477">
        <v>422.74</v>
      </c>
      <c r="I477">
        <v>737.49</v>
      </c>
      <c r="J477" t="s">
        <v>17</v>
      </c>
      <c r="K477">
        <v>0.19</v>
      </c>
      <c r="L477" t="s">
        <v>28</v>
      </c>
      <c r="M477" t="s">
        <v>21</v>
      </c>
      <c r="N477" t="str">
        <f t="shared" si="35"/>
        <v>East-David</v>
      </c>
      <c r="O477">
        <f t="shared" si="36"/>
        <v>2536.44</v>
      </c>
      <c r="P477">
        <f t="shared" si="37"/>
        <v>4424.9400000000005</v>
      </c>
      <c r="Q477">
        <f t="shared" si="38"/>
        <v>1888.5000000000005</v>
      </c>
      <c r="R477">
        <f t="shared" si="39"/>
        <v>42.678544793827719</v>
      </c>
    </row>
    <row r="478" spans="1:18" x14ac:dyDescent="0.35">
      <c r="A478">
        <v>1058</v>
      </c>
      <c r="B478" s="1">
        <v>45291</v>
      </c>
      <c r="C478" t="s">
        <v>33</v>
      </c>
      <c r="D478" t="s">
        <v>20</v>
      </c>
      <c r="E478">
        <v>4643.51</v>
      </c>
      <c r="F478">
        <v>44</v>
      </c>
      <c r="G478" t="s">
        <v>26</v>
      </c>
      <c r="H478">
        <v>1910.47</v>
      </c>
      <c r="I478">
        <v>2217.8000000000002</v>
      </c>
      <c r="J478" t="s">
        <v>27</v>
      </c>
      <c r="K478">
        <v>0.22</v>
      </c>
      <c r="L478" t="s">
        <v>25</v>
      </c>
      <c r="M478" t="s">
        <v>19</v>
      </c>
      <c r="N478" t="str">
        <f t="shared" si="35"/>
        <v>West-Alice</v>
      </c>
      <c r="O478">
        <f t="shared" si="36"/>
        <v>84060.680000000008</v>
      </c>
      <c r="P478">
        <f t="shared" si="37"/>
        <v>97583.200000000012</v>
      </c>
      <c r="Q478">
        <f t="shared" si="38"/>
        <v>13522.520000000004</v>
      </c>
      <c r="R478">
        <f t="shared" si="39"/>
        <v>13.857426278293808</v>
      </c>
    </row>
    <row r="479" spans="1:18" x14ac:dyDescent="0.35">
      <c r="A479">
        <v>1055</v>
      </c>
      <c r="B479" s="1">
        <v>45127</v>
      </c>
      <c r="C479" t="s">
        <v>32</v>
      </c>
      <c r="D479" t="s">
        <v>20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25</v>
      </c>
      <c r="M479" t="s">
        <v>19</v>
      </c>
      <c r="N479" t="str">
        <f t="shared" si="35"/>
        <v>West-Eve</v>
      </c>
      <c r="O479">
        <f t="shared" si="36"/>
        <v>176803.1</v>
      </c>
      <c r="P479">
        <f t="shared" si="37"/>
        <v>195131.41999999998</v>
      </c>
      <c r="Q479">
        <f t="shared" si="38"/>
        <v>18328.319999999978</v>
      </c>
      <c r="R479">
        <f t="shared" si="39"/>
        <v>9.3928081905005243</v>
      </c>
    </row>
    <row r="480" spans="1:18" x14ac:dyDescent="0.35">
      <c r="A480">
        <v>1090</v>
      </c>
      <c r="B480" s="1">
        <v>45080</v>
      </c>
      <c r="C480" t="s">
        <v>22</v>
      </c>
      <c r="D480" t="s">
        <v>23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27</v>
      </c>
      <c r="K480">
        <v>0.28000000000000003</v>
      </c>
      <c r="L480" t="s">
        <v>18</v>
      </c>
      <c r="M480" t="s">
        <v>19</v>
      </c>
      <c r="N480" t="str">
        <f t="shared" si="35"/>
        <v>South-David</v>
      </c>
      <c r="O480">
        <f t="shared" si="36"/>
        <v>4011.45</v>
      </c>
      <c r="P480">
        <f t="shared" si="37"/>
        <v>16945.379999999954</v>
      </c>
      <c r="Q480">
        <f t="shared" si="38"/>
        <v>12933.929999999953</v>
      </c>
      <c r="R480">
        <f t="shared" si="39"/>
        <v>76.327175902812385</v>
      </c>
    </row>
    <row r="481" spans="1:18" x14ac:dyDescent="0.35">
      <c r="A481">
        <v>1090</v>
      </c>
      <c r="B481" s="1">
        <v>44999</v>
      </c>
      <c r="C481" t="s">
        <v>22</v>
      </c>
      <c r="D481" t="s">
        <v>30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27</v>
      </c>
      <c r="K481">
        <v>0.19</v>
      </c>
      <c r="L481" t="s">
        <v>18</v>
      </c>
      <c r="M481" t="s">
        <v>21</v>
      </c>
      <c r="N481" t="str">
        <f t="shared" si="35"/>
        <v>East-David</v>
      </c>
      <c r="O481">
        <f t="shared" si="36"/>
        <v>108608.54000000001</v>
      </c>
      <c r="P481">
        <f t="shared" si="37"/>
        <v>127591.37</v>
      </c>
      <c r="Q481">
        <f t="shared" si="38"/>
        <v>18982.829999999987</v>
      </c>
      <c r="R481">
        <f t="shared" si="39"/>
        <v>14.877832254642293</v>
      </c>
    </row>
    <row r="482" spans="1:18" x14ac:dyDescent="0.35">
      <c r="A482">
        <v>1062</v>
      </c>
      <c r="B482" s="1">
        <v>45127</v>
      </c>
      <c r="C482" t="s">
        <v>32</v>
      </c>
      <c r="D482" t="s">
        <v>15</v>
      </c>
      <c r="E482">
        <v>903.38</v>
      </c>
      <c r="F482">
        <v>48</v>
      </c>
      <c r="G482" t="s">
        <v>31</v>
      </c>
      <c r="H482">
        <v>1679.69</v>
      </c>
      <c r="I482">
        <v>1939.04</v>
      </c>
      <c r="J482" t="s">
        <v>27</v>
      </c>
      <c r="K482">
        <v>0.09</v>
      </c>
      <c r="L482" t="s">
        <v>28</v>
      </c>
      <c r="M482" t="s">
        <v>19</v>
      </c>
      <c r="N482" t="str">
        <f t="shared" si="35"/>
        <v>North-Eve</v>
      </c>
      <c r="O482">
        <f t="shared" si="36"/>
        <v>80625.119999999995</v>
      </c>
      <c r="P482">
        <f t="shared" si="37"/>
        <v>93073.919999999998</v>
      </c>
      <c r="Q482">
        <f t="shared" si="38"/>
        <v>12448.800000000003</v>
      </c>
      <c r="R482">
        <f t="shared" si="39"/>
        <v>13.375175344500375</v>
      </c>
    </row>
    <row r="483" spans="1:18" x14ac:dyDescent="0.35">
      <c r="A483">
        <v>1023</v>
      </c>
      <c r="B483" s="1">
        <v>45222</v>
      </c>
      <c r="C483" t="s">
        <v>22</v>
      </c>
      <c r="D483" t="s">
        <v>23</v>
      </c>
      <c r="E483">
        <v>9519.76</v>
      </c>
      <c r="F483">
        <v>42</v>
      </c>
      <c r="G483" t="s">
        <v>24</v>
      </c>
      <c r="H483">
        <v>309.77999999999997</v>
      </c>
      <c r="I483">
        <v>350.38</v>
      </c>
      <c r="J483" t="s">
        <v>17</v>
      </c>
      <c r="K483">
        <v>0.19</v>
      </c>
      <c r="L483" t="s">
        <v>28</v>
      </c>
      <c r="M483" t="s">
        <v>21</v>
      </c>
      <c r="N483" t="str">
        <f t="shared" si="35"/>
        <v>South-David</v>
      </c>
      <c r="O483">
        <f t="shared" si="36"/>
        <v>13010.759999999998</v>
      </c>
      <c r="P483">
        <f t="shared" si="37"/>
        <v>14715.96</v>
      </c>
      <c r="Q483">
        <f t="shared" si="38"/>
        <v>1705.2000000000007</v>
      </c>
      <c r="R483">
        <f t="shared" si="39"/>
        <v>11.587419373251903</v>
      </c>
    </row>
    <row r="484" spans="1:18" x14ac:dyDescent="0.35">
      <c r="A484">
        <v>1009</v>
      </c>
      <c r="B484" s="1">
        <v>44943</v>
      </c>
      <c r="C484" t="s">
        <v>22</v>
      </c>
      <c r="D484" t="s">
        <v>20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27</v>
      </c>
      <c r="K484">
        <v>0.09</v>
      </c>
      <c r="L484" t="s">
        <v>18</v>
      </c>
      <c r="M484" t="s">
        <v>21</v>
      </c>
      <c r="N484" t="str">
        <f t="shared" si="35"/>
        <v>West-David</v>
      </c>
      <c r="O484">
        <f t="shared" si="36"/>
        <v>27344.04</v>
      </c>
      <c r="P484">
        <f t="shared" si="37"/>
        <v>29721.600000000002</v>
      </c>
      <c r="Q484">
        <f t="shared" si="38"/>
        <v>2377.5600000000013</v>
      </c>
      <c r="R484">
        <f t="shared" si="39"/>
        <v>7.9994347545219684</v>
      </c>
    </row>
    <row r="485" spans="1:18" x14ac:dyDescent="0.35">
      <c r="A485">
        <v>1012</v>
      </c>
      <c r="B485" s="1">
        <v>45055</v>
      </c>
      <c r="C485" t="s">
        <v>22</v>
      </c>
      <c r="D485" t="s">
        <v>20</v>
      </c>
      <c r="E485">
        <v>8070.39</v>
      </c>
      <c r="F485">
        <v>13</v>
      </c>
      <c r="G485" t="s">
        <v>24</v>
      </c>
      <c r="H485">
        <v>1311.01</v>
      </c>
      <c r="I485">
        <v>1538.79</v>
      </c>
      <c r="J485" t="s">
        <v>17</v>
      </c>
      <c r="K485">
        <v>0.09</v>
      </c>
      <c r="L485" t="s">
        <v>25</v>
      </c>
      <c r="M485" t="s">
        <v>21</v>
      </c>
      <c r="N485" t="str">
        <f t="shared" si="35"/>
        <v>West-David</v>
      </c>
      <c r="O485">
        <f t="shared" si="36"/>
        <v>17043.13</v>
      </c>
      <c r="P485">
        <f t="shared" si="37"/>
        <v>20004.27</v>
      </c>
      <c r="Q485">
        <f t="shared" si="38"/>
        <v>2961.1399999999994</v>
      </c>
      <c r="R485">
        <f t="shared" si="39"/>
        <v>14.802539657783059</v>
      </c>
    </row>
    <row r="486" spans="1:18" x14ac:dyDescent="0.3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24</v>
      </c>
      <c r="H486">
        <v>1791.83</v>
      </c>
      <c r="I486">
        <v>1871.22</v>
      </c>
      <c r="J486" t="s">
        <v>17</v>
      </c>
      <c r="K486">
        <v>0.12</v>
      </c>
      <c r="L486" t="s">
        <v>25</v>
      </c>
      <c r="M486" t="s">
        <v>19</v>
      </c>
      <c r="N486" t="str">
        <f t="shared" si="35"/>
        <v>North-Bob</v>
      </c>
      <c r="O486">
        <f t="shared" si="36"/>
        <v>7167.32</v>
      </c>
      <c r="P486">
        <f t="shared" si="37"/>
        <v>7484.88</v>
      </c>
      <c r="Q486">
        <f t="shared" si="38"/>
        <v>317.5600000000004</v>
      </c>
      <c r="R486">
        <f t="shared" si="39"/>
        <v>4.2426865894977661</v>
      </c>
    </row>
    <row r="487" spans="1:18" x14ac:dyDescent="0.35">
      <c r="A487">
        <v>1058</v>
      </c>
      <c r="B487" s="1">
        <v>44987</v>
      </c>
      <c r="C487" t="s">
        <v>32</v>
      </c>
      <c r="D487" t="s">
        <v>20</v>
      </c>
      <c r="E487">
        <v>9333.83</v>
      </c>
      <c r="F487">
        <v>39</v>
      </c>
      <c r="G487" t="s">
        <v>24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tr">
        <f t="shared" si="35"/>
        <v>West-Eve</v>
      </c>
      <c r="O487">
        <f t="shared" si="36"/>
        <v>138169.20000000001</v>
      </c>
      <c r="P487">
        <f t="shared" si="37"/>
        <v>140517.78</v>
      </c>
      <c r="Q487">
        <f t="shared" si="38"/>
        <v>2348.5799999999872</v>
      </c>
      <c r="R487">
        <f t="shared" si="39"/>
        <v>1.671375679291252</v>
      </c>
    </row>
    <row r="488" spans="1:18" x14ac:dyDescent="0.35">
      <c r="A488">
        <v>1001</v>
      </c>
      <c r="B488" s="1">
        <v>45030</v>
      </c>
      <c r="C488" t="s">
        <v>22</v>
      </c>
      <c r="D488" t="s">
        <v>30</v>
      </c>
      <c r="E488">
        <v>5488.11</v>
      </c>
      <c r="F488">
        <v>2</v>
      </c>
      <c r="G488" t="s">
        <v>31</v>
      </c>
      <c r="H488">
        <v>2631.68</v>
      </c>
      <c r="I488">
        <v>2904.06</v>
      </c>
      <c r="J488" t="s">
        <v>27</v>
      </c>
      <c r="K488">
        <v>0.15</v>
      </c>
      <c r="L488" t="s">
        <v>25</v>
      </c>
      <c r="M488" t="s">
        <v>19</v>
      </c>
      <c r="N488" t="str">
        <f t="shared" si="35"/>
        <v>East-David</v>
      </c>
      <c r="O488">
        <f t="shared" si="36"/>
        <v>5263.36</v>
      </c>
      <c r="P488">
        <f t="shared" si="37"/>
        <v>5808.12</v>
      </c>
      <c r="Q488">
        <f t="shared" si="38"/>
        <v>544.76000000000022</v>
      </c>
      <c r="R488">
        <f t="shared" si="39"/>
        <v>9.3792827971873898</v>
      </c>
    </row>
    <row r="489" spans="1:18" x14ac:dyDescent="0.35">
      <c r="A489">
        <v>1034</v>
      </c>
      <c r="B489" s="1">
        <v>44968</v>
      </c>
      <c r="C489" t="s">
        <v>32</v>
      </c>
      <c r="D489" t="s">
        <v>23</v>
      </c>
      <c r="E489">
        <v>2082.79</v>
      </c>
      <c r="F489">
        <v>26</v>
      </c>
      <c r="G489" t="s">
        <v>31</v>
      </c>
      <c r="H489">
        <v>667</v>
      </c>
      <c r="I489">
        <v>718.72</v>
      </c>
      <c r="J489" t="s">
        <v>27</v>
      </c>
      <c r="K489">
        <v>0.2</v>
      </c>
      <c r="L489" t="s">
        <v>18</v>
      </c>
      <c r="M489" t="s">
        <v>21</v>
      </c>
      <c r="N489" t="str">
        <f t="shared" si="35"/>
        <v>South-Eve</v>
      </c>
      <c r="O489">
        <f t="shared" si="36"/>
        <v>17342</v>
      </c>
      <c r="P489">
        <f t="shared" si="37"/>
        <v>18686.72</v>
      </c>
      <c r="Q489">
        <f t="shared" si="38"/>
        <v>1344.7200000000012</v>
      </c>
      <c r="R489">
        <f t="shared" si="39"/>
        <v>7.1961264470169244</v>
      </c>
    </row>
    <row r="490" spans="1:18" x14ac:dyDescent="0.35">
      <c r="A490">
        <v>1096</v>
      </c>
      <c r="B490" s="1">
        <v>44951</v>
      </c>
      <c r="C490" t="s">
        <v>29</v>
      </c>
      <c r="D490" t="s">
        <v>20</v>
      </c>
      <c r="E490">
        <v>6206.16</v>
      </c>
      <c r="F490">
        <v>27</v>
      </c>
      <c r="G490" t="s">
        <v>26</v>
      </c>
      <c r="H490">
        <v>4809</v>
      </c>
      <c r="I490">
        <v>4967.4399999999996</v>
      </c>
      <c r="J490" t="s">
        <v>27</v>
      </c>
      <c r="K490">
        <v>0.12</v>
      </c>
      <c r="L490" t="s">
        <v>18</v>
      </c>
      <c r="M490" t="s">
        <v>19</v>
      </c>
      <c r="N490" t="str">
        <f t="shared" si="35"/>
        <v>West-Charlie</v>
      </c>
      <c r="O490">
        <f t="shared" si="36"/>
        <v>129843</v>
      </c>
      <c r="P490">
        <f t="shared" si="37"/>
        <v>134120.87999999998</v>
      </c>
      <c r="Q490">
        <f t="shared" si="38"/>
        <v>4277.8799999999756</v>
      </c>
      <c r="R490">
        <f t="shared" si="39"/>
        <v>3.1895704829851823</v>
      </c>
    </row>
    <row r="491" spans="1:18" x14ac:dyDescent="0.35">
      <c r="A491">
        <v>1048</v>
      </c>
      <c r="B491" s="1">
        <v>44965</v>
      </c>
      <c r="C491" t="s">
        <v>29</v>
      </c>
      <c r="D491" t="s">
        <v>20</v>
      </c>
      <c r="E491">
        <v>7454.53</v>
      </c>
      <c r="F491">
        <v>27</v>
      </c>
      <c r="G491" t="s">
        <v>26</v>
      </c>
      <c r="H491">
        <v>3197.76</v>
      </c>
      <c r="I491">
        <v>3572.61</v>
      </c>
      <c r="J491" t="s">
        <v>17</v>
      </c>
      <c r="K491">
        <v>0.08</v>
      </c>
      <c r="L491" t="s">
        <v>28</v>
      </c>
      <c r="M491" t="s">
        <v>19</v>
      </c>
      <c r="N491" t="str">
        <f t="shared" si="35"/>
        <v>West-Charlie</v>
      </c>
      <c r="O491">
        <f t="shared" si="36"/>
        <v>86339.520000000004</v>
      </c>
      <c r="P491">
        <f t="shared" si="37"/>
        <v>96460.47</v>
      </c>
      <c r="Q491">
        <f t="shared" si="38"/>
        <v>10120.949999999997</v>
      </c>
      <c r="R491">
        <f t="shared" si="39"/>
        <v>10.492329137521304</v>
      </c>
    </row>
    <row r="492" spans="1:18" x14ac:dyDescent="0.35">
      <c r="A492">
        <v>1089</v>
      </c>
      <c r="B492" s="1">
        <v>45217</v>
      </c>
      <c r="C492" t="s">
        <v>22</v>
      </c>
      <c r="D492" t="s">
        <v>15</v>
      </c>
      <c r="E492">
        <v>7405.38</v>
      </c>
      <c r="F492">
        <v>15</v>
      </c>
      <c r="G492" t="s">
        <v>24</v>
      </c>
      <c r="H492">
        <v>3841.05</v>
      </c>
      <c r="I492">
        <v>4323.62</v>
      </c>
      <c r="J492" t="s">
        <v>17</v>
      </c>
      <c r="K492">
        <v>0.28999999999999998</v>
      </c>
      <c r="L492" t="s">
        <v>28</v>
      </c>
      <c r="M492" t="s">
        <v>21</v>
      </c>
      <c r="N492" t="str">
        <f t="shared" si="35"/>
        <v>North-David</v>
      </c>
      <c r="O492">
        <f t="shared" si="36"/>
        <v>57615.75</v>
      </c>
      <c r="P492">
        <f t="shared" si="37"/>
        <v>64854.299999999996</v>
      </c>
      <c r="Q492">
        <f t="shared" si="38"/>
        <v>7238.5499999999956</v>
      </c>
      <c r="R492">
        <f t="shared" si="39"/>
        <v>11.161249138453419</v>
      </c>
    </row>
    <row r="493" spans="1:18" x14ac:dyDescent="0.35">
      <c r="A493">
        <v>1001</v>
      </c>
      <c r="B493" s="1">
        <v>45057</v>
      </c>
      <c r="C493" t="s">
        <v>32</v>
      </c>
      <c r="D493" t="s">
        <v>30</v>
      </c>
      <c r="E493">
        <v>5262.35</v>
      </c>
      <c r="F493">
        <v>8</v>
      </c>
      <c r="G493" t="s">
        <v>26</v>
      </c>
      <c r="H493">
        <v>442.11</v>
      </c>
      <c r="I493">
        <v>803.87</v>
      </c>
      <c r="J493" t="s">
        <v>27</v>
      </c>
      <c r="K493">
        <v>0.18</v>
      </c>
      <c r="L493" t="s">
        <v>18</v>
      </c>
      <c r="M493" t="s">
        <v>21</v>
      </c>
      <c r="N493" t="str">
        <f t="shared" si="35"/>
        <v>East-Eve</v>
      </c>
      <c r="O493">
        <f t="shared" si="36"/>
        <v>3536.88</v>
      </c>
      <c r="P493">
        <f t="shared" si="37"/>
        <v>6430.96</v>
      </c>
      <c r="Q493">
        <f t="shared" si="38"/>
        <v>2894.08</v>
      </c>
      <c r="R493">
        <f t="shared" si="39"/>
        <v>45.002301367136475</v>
      </c>
    </row>
    <row r="494" spans="1:18" x14ac:dyDescent="0.35">
      <c r="A494">
        <v>1016</v>
      </c>
      <c r="B494" s="1">
        <v>45155</v>
      </c>
      <c r="C494" t="s">
        <v>32</v>
      </c>
      <c r="D494" t="s">
        <v>20</v>
      </c>
      <c r="E494">
        <v>777.74</v>
      </c>
      <c r="F494">
        <v>7</v>
      </c>
      <c r="G494" t="s">
        <v>24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28</v>
      </c>
      <c r="M494" t="s">
        <v>19</v>
      </c>
      <c r="N494" t="str">
        <f t="shared" si="35"/>
        <v>West-Eve</v>
      </c>
      <c r="O494">
        <f t="shared" si="36"/>
        <v>1980.58</v>
      </c>
      <c r="P494">
        <f t="shared" si="37"/>
        <v>5455.3099999999931</v>
      </c>
      <c r="Q494">
        <f t="shared" si="38"/>
        <v>3474.7299999999932</v>
      </c>
      <c r="R494">
        <f t="shared" si="39"/>
        <v>63.694455493821565</v>
      </c>
    </row>
    <row r="495" spans="1:18" x14ac:dyDescent="0.35">
      <c r="A495">
        <v>1061</v>
      </c>
      <c r="B495" s="1">
        <v>45034</v>
      </c>
      <c r="C495" t="s">
        <v>32</v>
      </c>
      <c r="D495" t="s">
        <v>15</v>
      </c>
      <c r="E495">
        <v>3774.02</v>
      </c>
      <c r="F495">
        <v>47</v>
      </c>
      <c r="G495" t="s">
        <v>31</v>
      </c>
      <c r="H495">
        <v>146.27000000000001</v>
      </c>
      <c r="I495">
        <v>498.46</v>
      </c>
      <c r="J495" t="s">
        <v>27</v>
      </c>
      <c r="K495">
        <v>0.06</v>
      </c>
      <c r="L495" t="s">
        <v>18</v>
      </c>
      <c r="M495" t="s">
        <v>21</v>
      </c>
      <c r="N495" t="str">
        <f t="shared" si="35"/>
        <v>North-Eve</v>
      </c>
      <c r="O495">
        <f t="shared" si="36"/>
        <v>6874.6900000000005</v>
      </c>
      <c r="P495">
        <f t="shared" si="37"/>
        <v>23427.62</v>
      </c>
      <c r="Q495">
        <f t="shared" si="38"/>
        <v>16552.93</v>
      </c>
      <c r="R495">
        <f t="shared" si="39"/>
        <v>70.655619307466992</v>
      </c>
    </row>
    <row r="496" spans="1:18" x14ac:dyDescent="0.35">
      <c r="A496">
        <v>1064</v>
      </c>
      <c r="B496" s="1">
        <v>45098</v>
      </c>
      <c r="C496" t="s">
        <v>14</v>
      </c>
      <c r="D496" t="s">
        <v>20</v>
      </c>
      <c r="E496">
        <v>9215.59</v>
      </c>
      <c r="F496">
        <v>46</v>
      </c>
      <c r="G496" t="s">
        <v>31</v>
      </c>
      <c r="H496">
        <v>984.53</v>
      </c>
      <c r="I496">
        <v>1138.49</v>
      </c>
      <c r="J496" t="s">
        <v>27</v>
      </c>
      <c r="K496">
        <v>0.04</v>
      </c>
      <c r="L496" t="s">
        <v>25</v>
      </c>
      <c r="M496" t="s">
        <v>19</v>
      </c>
      <c r="N496" t="str">
        <f t="shared" si="35"/>
        <v>West-Bob</v>
      </c>
      <c r="O496">
        <f t="shared" si="36"/>
        <v>45288.38</v>
      </c>
      <c r="P496">
        <f t="shared" si="37"/>
        <v>52370.54</v>
      </c>
      <c r="Q496">
        <f t="shared" si="38"/>
        <v>7082.1600000000035</v>
      </c>
      <c r="R496">
        <f t="shared" si="39"/>
        <v>13.523175434127666</v>
      </c>
    </row>
    <row r="497" spans="1:18" x14ac:dyDescent="0.35">
      <c r="A497">
        <v>1063</v>
      </c>
      <c r="B497" s="1">
        <v>45028</v>
      </c>
      <c r="C497" t="s">
        <v>29</v>
      </c>
      <c r="D497" t="s">
        <v>15</v>
      </c>
      <c r="E497">
        <v>5886.04</v>
      </c>
      <c r="F497">
        <v>40</v>
      </c>
      <c r="G497" t="s">
        <v>31</v>
      </c>
      <c r="H497">
        <v>2101.3200000000002</v>
      </c>
      <c r="I497">
        <v>2440.63</v>
      </c>
      <c r="J497" t="s">
        <v>27</v>
      </c>
      <c r="K497">
        <v>0.26</v>
      </c>
      <c r="L497" t="s">
        <v>25</v>
      </c>
      <c r="M497" t="s">
        <v>21</v>
      </c>
      <c r="N497" t="str">
        <f t="shared" si="35"/>
        <v>North-Charlie</v>
      </c>
      <c r="O497">
        <f t="shared" si="36"/>
        <v>84052.800000000003</v>
      </c>
      <c r="P497">
        <f t="shared" si="37"/>
        <v>97625.200000000012</v>
      </c>
      <c r="Q497">
        <f t="shared" si="38"/>
        <v>13572.400000000009</v>
      </c>
      <c r="R497">
        <f t="shared" si="39"/>
        <v>13.902557946104089</v>
      </c>
    </row>
    <row r="498" spans="1:18" x14ac:dyDescent="0.35">
      <c r="A498">
        <v>1069</v>
      </c>
      <c r="B498" s="1">
        <v>45280</v>
      </c>
      <c r="C498" t="s">
        <v>32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27</v>
      </c>
      <c r="K498">
        <v>0.2</v>
      </c>
      <c r="L498" t="s">
        <v>25</v>
      </c>
      <c r="M498" t="s">
        <v>21</v>
      </c>
      <c r="N498" t="str">
        <f t="shared" si="35"/>
        <v>North-Eve</v>
      </c>
      <c r="O498">
        <f t="shared" si="36"/>
        <v>56188.08</v>
      </c>
      <c r="P498">
        <f t="shared" si="37"/>
        <v>60436.799999999996</v>
      </c>
      <c r="Q498">
        <f t="shared" si="38"/>
        <v>4248.7199999999939</v>
      </c>
      <c r="R498">
        <f t="shared" si="39"/>
        <v>7.030021443888482</v>
      </c>
    </row>
    <row r="499" spans="1:18" x14ac:dyDescent="0.35">
      <c r="A499">
        <v>1022</v>
      </c>
      <c r="B499" s="1">
        <v>44938</v>
      </c>
      <c r="C499" t="s">
        <v>32</v>
      </c>
      <c r="D499" t="s">
        <v>30</v>
      </c>
      <c r="E499">
        <v>2761.65</v>
      </c>
      <c r="F499">
        <v>13</v>
      </c>
      <c r="G499" t="s">
        <v>24</v>
      </c>
      <c r="H499">
        <v>2312.4499999999998</v>
      </c>
      <c r="I499">
        <v>2504.6</v>
      </c>
      <c r="J499" t="s">
        <v>17</v>
      </c>
      <c r="K499">
        <v>0.06</v>
      </c>
      <c r="L499" t="s">
        <v>25</v>
      </c>
      <c r="M499" t="s">
        <v>19</v>
      </c>
      <c r="N499" t="str">
        <f t="shared" si="35"/>
        <v>East-Eve</v>
      </c>
      <c r="O499">
        <f t="shared" si="36"/>
        <v>30061.85</v>
      </c>
      <c r="P499">
        <f t="shared" si="37"/>
        <v>32559.8</v>
      </c>
      <c r="Q499">
        <f t="shared" si="38"/>
        <v>2497.9500000000007</v>
      </c>
      <c r="R499">
        <f t="shared" si="39"/>
        <v>7.6718837339295716</v>
      </c>
    </row>
    <row r="500" spans="1:18" x14ac:dyDescent="0.35">
      <c r="A500">
        <v>1093</v>
      </c>
      <c r="B500" s="1">
        <v>45201</v>
      </c>
      <c r="C500" t="s">
        <v>14</v>
      </c>
      <c r="D500" t="s">
        <v>20</v>
      </c>
      <c r="E500">
        <v>3747.64</v>
      </c>
      <c r="F500">
        <v>43</v>
      </c>
      <c r="G500" t="s">
        <v>31</v>
      </c>
      <c r="H500">
        <v>1486.76</v>
      </c>
      <c r="I500">
        <v>1505.44</v>
      </c>
      <c r="J500" t="s">
        <v>27</v>
      </c>
      <c r="K500">
        <v>0.08</v>
      </c>
      <c r="L500" t="s">
        <v>18</v>
      </c>
      <c r="M500" t="s">
        <v>21</v>
      </c>
      <c r="N500" t="str">
        <f t="shared" si="35"/>
        <v>West-Bob</v>
      </c>
      <c r="O500">
        <f t="shared" si="36"/>
        <v>63930.68</v>
      </c>
      <c r="P500">
        <f t="shared" si="37"/>
        <v>64733.920000000006</v>
      </c>
      <c r="Q500">
        <f t="shared" si="38"/>
        <v>803.24000000000524</v>
      </c>
      <c r="R500">
        <f t="shared" si="39"/>
        <v>1.240833244765658</v>
      </c>
    </row>
    <row r="501" spans="1:18" x14ac:dyDescent="0.35">
      <c r="A501">
        <v>1067</v>
      </c>
      <c r="B501" s="1">
        <v>45027</v>
      </c>
      <c r="C501" t="s">
        <v>14</v>
      </c>
      <c r="D501" t="s">
        <v>30</v>
      </c>
      <c r="E501">
        <v>8963.93</v>
      </c>
      <c r="F501">
        <v>17</v>
      </c>
      <c r="G501" t="s">
        <v>24</v>
      </c>
      <c r="H501">
        <v>2831.58</v>
      </c>
      <c r="I501">
        <v>3186.15</v>
      </c>
      <c r="J501" t="s">
        <v>27</v>
      </c>
      <c r="K501">
        <v>0.24</v>
      </c>
      <c r="L501" t="s">
        <v>25</v>
      </c>
      <c r="M501" t="s">
        <v>21</v>
      </c>
      <c r="N501" t="str">
        <f t="shared" si="35"/>
        <v>East-Bob</v>
      </c>
      <c r="O501">
        <f t="shared" si="36"/>
        <v>48136.86</v>
      </c>
      <c r="P501">
        <f t="shared" si="37"/>
        <v>54164.55</v>
      </c>
      <c r="Q501">
        <f t="shared" si="38"/>
        <v>6027.6900000000023</v>
      </c>
      <c r="R501">
        <f t="shared" si="39"/>
        <v>11.128477943599647</v>
      </c>
    </row>
    <row r="502" spans="1:18" x14ac:dyDescent="0.35">
      <c r="A502">
        <v>1076</v>
      </c>
      <c r="B502" s="1">
        <v>44970</v>
      </c>
      <c r="C502" t="s">
        <v>32</v>
      </c>
      <c r="D502" t="s">
        <v>15</v>
      </c>
      <c r="E502">
        <v>6697.98</v>
      </c>
      <c r="F502">
        <v>17</v>
      </c>
      <c r="G502" t="s">
        <v>26</v>
      </c>
      <c r="H502">
        <v>604.08000000000004</v>
      </c>
      <c r="I502">
        <v>624.71</v>
      </c>
      <c r="J502" t="s">
        <v>27</v>
      </c>
      <c r="K502">
        <v>0.14000000000000001</v>
      </c>
      <c r="L502" t="s">
        <v>25</v>
      </c>
      <c r="M502" t="s">
        <v>21</v>
      </c>
      <c r="N502" t="str">
        <f t="shared" si="35"/>
        <v>North-Eve</v>
      </c>
      <c r="O502">
        <f t="shared" si="36"/>
        <v>10269.36</v>
      </c>
      <c r="P502">
        <f t="shared" si="37"/>
        <v>10620.07</v>
      </c>
      <c r="Q502">
        <f t="shared" si="38"/>
        <v>350.70999999999913</v>
      </c>
      <c r="R502">
        <f t="shared" si="39"/>
        <v>3.3023322821789227</v>
      </c>
    </row>
    <row r="503" spans="1:18" x14ac:dyDescent="0.35">
      <c r="A503">
        <v>1026</v>
      </c>
      <c r="B503" s="1">
        <v>45231</v>
      </c>
      <c r="C503" t="s">
        <v>33</v>
      </c>
      <c r="D503" t="s">
        <v>23</v>
      </c>
      <c r="E503">
        <v>7895.13</v>
      </c>
      <c r="F503">
        <v>36</v>
      </c>
      <c r="G503" t="s">
        <v>26</v>
      </c>
      <c r="H503">
        <v>3067.05</v>
      </c>
      <c r="I503">
        <v>3386.33</v>
      </c>
      <c r="J503" t="s">
        <v>27</v>
      </c>
      <c r="K503">
        <v>0.2</v>
      </c>
      <c r="L503" t="s">
        <v>25</v>
      </c>
      <c r="M503" t="s">
        <v>19</v>
      </c>
      <c r="N503" t="str">
        <f t="shared" si="35"/>
        <v>South-Alice</v>
      </c>
      <c r="O503">
        <f t="shared" si="36"/>
        <v>110413.8</v>
      </c>
      <c r="P503">
        <f t="shared" si="37"/>
        <v>121907.88</v>
      </c>
      <c r="Q503">
        <f t="shared" si="38"/>
        <v>11494.080000000002</v>
      </c>
      <c r="R503">
        <f t="shared" si="39"/>
        <v>9.4284963367421391</v>
      </c>
    </row>
    <row r="504" spans="1:18" x14ac:dyDescent="0.35">
      <c r="A504">
        <v>1016</v>
      </c>
      <c r="B504" s="1">
        <v>44943</v>
      </c>
      <c r="C504" t="s">
        <v>32</v>
      </c>
      <c r="D504" t="s">
        <v>20</v>
      </c>
      <c r="E504">
        <v>4598.0200000000004</v>
      </c>
      <c r="F504">
        <v>21</v>
      </c>
      <c r="G504" t="s">
        <v>31</v>
      </c>
      <c r="H504">
        <v>2863.74</v>
      </c>
      <c r="I504">
        <v>2953.91</v>
      </c>
      <c r="J504" t="s">
        <v>27</v>
      </c>
      <c r="K504">
        <v>0.1</v>
      </c>
      <c r="L504" t="s">
        <v>25</v>
      </c>
      <c r="M504" t="s">
        <v>21</v>
      </c>
      <c r="N504" t="str">
        <f t="shared" si="35"/>
        <v>West-Eve</v>
      </c>
      <c r="O504">
        <f t="shared" si="36"/>
        <v>60138.539999999994</v>
      </c>
      <c r="P504">
        <f t="shared" si="37"/>
        <v>62032.11</v>
      </c>
      <c r="Q504">
        <f t="shared" si="38"/>
        <v>1893.570000000007</v>
      </c>
      <c r="R504">
        <f t="shared" si="39"/>
        <v>3.052564228429449</v>
      </c>
    </row>
    <row r="505" spans="1:18" x14ac:dyDescent="0.35">
      <c r="A505">
        <v>1051</v>
      </c>
      <c r="B505" s="1">
        <v>45256</v>
      </c>
      <c r="C505" t="s">
        <v>32</v>
      </c>
      <c r="D505" t="s">
        <v>23</v>
      </c>
      <c r="E505">
        <v>6339.45</v>
      </c>
      <c r="F505">
        <v>8</v>
      </c>
      <c r="G505" t="s">
        <v>24</v>
      </c>
      <c r="H505">
        <v>3970.37</v>
      </c>
      <c r="I505">
        <v>4257.5199999999904</v>
      </c>
      <c r="J505" t="s">
        <v>27</v>
      </c>
      <c r="K505">
        <v>0.11</v>
      </c>
      <c r="L505" t="s">
        <v>18</v>
      </c>
      <c r="M505" t="s">
        <v>21</v>
      </c>
      <c r="N505" t="str">
        <f t="shared" si="35"/>
        <v>South-Eve</v>
      </c>
      <c r="O505">
        <f t="shared" si="36"/>
        <v>31762.959999999999</v>
      </c>
      <c r="P505">
        <f t="shared" si="37"/>
        <v>34060.159999999923</v>
      </c>
      <c r="Q505">
        <f t="shared" si="38"/>
        <v>2297.1999999999243</v>
      </c>
      <c r="R505">
        <f t="shared" si="39"/>
        <v>6.7445367256053101</v>
      </c>
    </row>
    <row r="506" spans="1:18" x14ac:dyDescent="0.35">
      <c r="A506">
        <v>1086</v>
      </c>
      <c r="B506" s="1">
        <v>44983</v>
      </c>
      <c r="C506" t="s">
        <v>14</v>
      </c>
      <c r="D506" t="s">
        <v>20</v>
      </c>
      <c r="E506">
        <v>2559</v>
      </c>
      <c r="F506">
        <v>5</v>
      </c>
      <c r="G506" t="s">
        <v>31</v>
      </c>
      <c r="H506">
        <v>4934.1000000000004</v>
      </c>
      <c r="I506">
        <v>5191.0200000000004</v>
      </c>
      <c r="J506" t="s">
        <v>27</v>
      </c>
      <c r="K506">
        <v>0.3</v>
      </c>
      <c r="L506" t="s">
        <v>25</v>
      </c>
      <c r="M506" t="s">
        <v>19</v>
      </c>
      <c r="N506" t="str">
        <f t="shared" si="35"/>
        <v>West-Bob</v>
      </c>
      <c r="O506">
        <f t="shared" si="36"/>
        <v>24670.5</v>
      </c>
      <c r="P506">
        <f t="shared" si="37"/>
        <v>25955.100000000002</v>
      </c>
      <c r="Q506">
        <f t="shared" si="38"/>
        <v>1284.6000000000022</v>
      </c>
      <c r="R506">
        <f t="shared" si="39"/>
        <v>4.9493163193360923</v>
      </c>
    </row>
    <row r="507" spans="1:18" x14ac:dyDescent="0.35">
      <c r="A507">
        <v>1057</v>
      </c>
      <c r="B507" s="1">
        <v>45237</v>
      </c>
      <c r="C507" t="s">
        <v>14</v>
      </c>
      <c r="D507" t="s">
        <v>30</v>
      </c>
      <c r="E507">
        <v>7084.06</v>
      </c>
      <c r="F507">
        <v>26</v>
      </c>
      <c r="G507" t="s">
        <v>26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28</v>
      </c>
      <c r="M507" t="s">
        <v>19</v>
      </c>
      <c r="N507" t="str">
        <f t="shared" si="35"/>
        <v>East-Bob</v>
      </c>
      <c r="O507">
        <f t="shared" si="36"/>
        <v>33587.32</v>
      </c>
      <c r="P507">
        <f t="shared" si="37"/>
        <v>34019.43999999974</v>
      </c>
      <c r="Q507">
        <f t="shared" si="38"/>
        <v>432.11999999974068</v>
      </c>
      <c r="R507">
        <f t="shared" si="39"/>
        <v>1.2702149124140314</v>
      </c>
    </row>
    <row r="508" spans="1:18" x14ac:dyDescent="0.35">
      <c r="A508">
        <v>1029</v>
      </c>
      <c r="B508" s="1">
        <v>45229</v>
      </c>
      <c r="C508" t="s">
        <v>32</v>
      </c>
      <c r="D508" t="s">
        <v>30</v>
      </c>
      <c r="E508">
        <v>4333.25</v>
      </c>
      <c r="F508">
        <v>16</v>
      </c>
      <c r="G508" t="s">
        <v>31</v>
      </c>
      <c r="H508">
        <v>2572.8000000000002</v>
      </c>
      <c r="I508">
        <v>2760.6</v>
      </c>
      <c r="J508" t="s">
        <v>17</v>
      </c>
      <c r="K508">
        <v>0.15</v>
      </c>
      <c r="L508" t="s">
        <v>28</v>
      </c>
      <c r="M508" t="s">
        <v>21</v>
      </c>
      <c r="N508" t="str">
        <f t="shared" si="35"/>
        <v>East-Eve</v>
      </c>
      <c r="O508">
        <f t="shared" si="36"/>
        <v>41164.800000000003</v>
      </c>
      <c r="P508">
        <f t="shared" si="37"/>
        <v>44169.599999999999</v>
      </c>
      <c r="Q508">
        <f t="shared" si="38"/>
        <v>3004.7999999999956</v>
      </c>
      <c r="R508">
        <f t="shared" si="39"/>
        <v>6.802868941534439</v>
      </c>
    </row>
    <row r="509" spans="1:18" x14ac:dyDescent="0.35">
      <c r="A509">
        <v>1078</v>
      </c>
      <c r="B509" s="1">
        <v>44938</v>
      </c>
      <c r="C509" t="s">
        <v>32</v>
      </c>
      <c r="D509" t="s">
        <v>30</v>
      </c>
      <c r="E509">
        <v>4481.2</v>
      </c>
      <c r="F509">
        <v>36</v>
      </c>
      <c r="G509" t="s">
        <v>24</v>
      </c>
      <c r="H509">
        <v>4548.88</v>
      </c>
      <c r="I509">
        <v>4853.41</v>
      </c>
      <c r="J509" t="s">
        <v>17</v>
      </c>
      <c r="K509">
        <v>0.25</v>
      </c>
      <c r="L509" t="s">
        <v>28</v>
      </c>
      <c r="M509" t="s">
        <v>21</v>
      </c>
      <c r="N509" t="str">
        <f t="shared" si="35"/>
        <v>East-Eve</v>
      </c>
      <c r="O509">
        <f t="shared" si="36"/>
        <v>163759.67999999999</v>
      </c>
      <c r="P509">
        <f t="shared" si="37"/>
        <v>174722.76</v>
      </c>
      <c r="Q509">
        <f t="shared" si="38"/>
        <v>10963.080000000016</v>
      </c>
      <c r="R509">
        <f t="shared" si="39"/>
        <v>6.2745574760838352</v>
      </c>
    </row>
    <row r="510" spans="1:18" x14ac:dyDescent="0.35">
      <c r="A510">
        <v>1092</v>
      </c>
      <c r="B510" s="1">
        <v>45244</v>
      </c>
      <c r="C510" t="s">
        <v>32</v>
      </c>
      <c r="D510" t="s">
        <v>30</v>
      </c>
      <c r="E510">
        <v>6528.29</v>
      </c>
      <c r="F510">
        <v>28</v>
      </c>
      <c r="G510" t="s">
        <v>26</v>
      </c>
      <c r="H510">
        <v>3936.69</v>
      </c>
      <c r="I510">
        <v>4362.51</v>
      </c>
      <c r="J510" t="s">
        <v>17</v>
      </c>
      <c r="K510">
        <v>7.0000000000000007E-2</v>
      </c>
      <c r="L510" t="s">
        <v>28</v>
      </c>
      <c r="M510" t="s">
        <v>21</v>
      </c>
      <c r="N510" t="str">
        <f t="shared" si="35"/>
        <v>East-Eve</v>
      </c>
      <c r="O510">
        <f t="shared" si="36"/>
        <v>110227.32</v>
      </c>
      <c r="P510">
        <f t="shared" si="37"/>
        <v>122150.28</v>
      </c>
      <c r="Q510">
        <f t="shared" si="38"/>
        <v>11922.959999999992</v>
      </c>
      <c r="R510">
        <f t="shared" si="39"/>
        <v>9.7608945309007815</v>
      </c>
    </row>
    <row r="511" spans="1:18" x14ac:dyDescent="0.35">
      <c r="A511">
        <v>1069</v>
      </c>
      <c r="B511" s="1">
        <v>45006</v>
      </c>
      <c r="C511" t="s">
        <v>14</v>
      </c>
      <c r="D511" t="s">
        <v>30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27</v>
      </c>
      <c r="K511">
        <v>0.12</v>
      </c>
      <c r="L511" t="s">
        <v>28</v>
      </c>
      <c r="M511" t="s">
        <v>19</v>
      </c>
      <c r="N511" t="str">
        <f t="shared" si="35"/>
        <v>East-Bob</v>
      </c>
      <c r="O511">
        <f t="shared" si="36"/>
        <v>71417.14</v>
      </c>
      <c r="P511">
        <f t="shared" si="37"/>
        <v>84334.60999999971</v>
      </c>
      <c r="Q511">
        <f t="shared" si="38"/>
        <v>12917.46999999971</v>
      </c>
      <c r="R511">
        <f t="shared" si="39"/>
        <v>15.316926229930694</v>
      </c>
    </row>
    <row r="512" spans="1:18" x14ac:dyDescent="0.35">
      <c r="A512">
        <v>1047</v>
      </c>
      <c r="B512" s="1">
        <v>45142</v>
      </c>
      <c r="C512" t="s">
        <v>32</v>
      </c>
      <c r="D512" t="s">
        <v>23</v>
      </c>
      <c r="E512">
        <v>733.66</v>
      </c>
      <c r="F512">
        <v>47</v>
      </c>
      <c r="G512" t="s">
        <v>26</v>
      </c>
      <c r="H512">
        <v>4729.59</v>
      </c>
      <c r="I512">
        <v>4976.68</v>
      </c>
      <c r="J512" t="s">
        <v>17</v>
      </c>
      <c r="K512">
        <v>0.18</v>
      </c>
      <c r="L512" t="s">
        <v>28</v>
      </c>
      <c r="M512" t="s">
        <v>21</v>
      </c>
      <c r="N512" t="str">
        <f t="shared" si="35"/>
        <v>South-Eve</v>
      </c>
      <c r="O512">
        <f t="shared" si="36"/>
        <v>222290.73</v>
      </c>
      <c r="P512">
        <f t="shared" si="37"/>
        <v>233903.96000000002</v>
      </c>
      <c r="Q512">
        <f t="shared" si="38"/>
        <v>11613.23000000001</v>
      </c>
      <c r="R512">
        <f t="shared" si="39"/>
        <v>4.9649565573836414</v>
      </c>
    </row>
    <row r="513" spans="1:18" x14ac:dyDescent="0.35">
      <c r="A513">
        <v>1094</v>
      </c>
      <c r="B513" s="1">
        <v>45265</v>
      </c>
      <c r="C513" t="s">
        <v>32</v>
      </c>
      <c r="D513" t="s">
        <v>30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tr">
        <f t="shared" si="35"/>
        <v>East-Eve</v>
      </c>
      <c r="O513">
        <f t="shared" si="36"/>
        <v>3999.84</v>
      </c>
      <c r="P513">
        <f t="shared" si="37"/>
        <v>8403</v>
      </c>
      <c r="Q513">
        <f t="shared" si="38"/>
        <v>4403.16</v>
      </c>
      <c r="R513">
        <f t="shared" si="39"/>
        <v>52.399857193859333</v>
      </c>
    </row>
    <row r="514" spans="1:18" x14ac:dyDescent="0.35">
      <c r="A514">
        <v>1062</v>
      </c>
      <c r="B514" s="1">
        <v>45190</v>
      </c>
      <c r="C514" t="s">
        <v>22</v>
      </c>
      <c r="D514" t="s">
        <v>15</v>
      </c>
      <c r="E514">
        <v>2994.59</v>
      </c>
      <c r="F514">
        <v>37</v>
      </c>
      <c r="G514" t="s">
        <v>31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28</v>
      </c>
      <c r="M514" t="s">
        <v>19</v>
      </c>
      <c r="N514" t="str">
        <f t="shared" si="35"/>
        <v>North-David</v>
      </c>
      <c r="O514">
        <f t="shared" si="36"/>
        <v>172362.28</v>
      </c>
      <c r="P514">
        <f t="shared" si="37"/>
        <v>178469.5</v>
      </c>
      <c r="Q514">
        <f t="shared" si="38"/>
        <v>6107.2200000000012</v>
      </c>
      <c r="R514">
        <f t="shared" si="39"/>
        <v>3.4219964755882666</v>
      </c>
    </row>
    <row r="515" spans="1:18" x14ac:dyDescent="0.35">
      <c r="A515">
        <v>1069</v>
      </c>
      <c r="B515" s="1">
        <v>45075</v>
      </c>
      <c r="C515" t="s">
        <v>33</v>
      </c>
      <c r="D515" t="s">
        <v>15</v>
      </c>
      <c r="E515">
        <v>4494.8</v>
      </c>
      <c r="F515">
        <v>30</v>
      </c>
      <c r="G515" t="s">
        <v>31</v>
      </c>
      <c r="H515">
        <v>300.01</v>
      </c>
      <c r="I515">
        <v>477.67999999999898</v>
      </c>
      <c r="J515" t="s">
        <v>27</v>
      </c>
      <c r="K515">
        <v>0.11</v>
      </c>
      <c r="L515" t="s">
        <v>25</v>
      </c>
      <c r="M515" t="s">
        <v>21</v>
      </c>
      <c r="N515" t="str">
        <f t="shared" ref="N515:N578" si="40">D515 &amp; "-" &amp; C515</f>
        <v>North-Alice</v>
      </c>
      <c r="O515">
        <f t="shared" ref="O515:O578" si="41">F515*H515</f>
        <v>9000.2999999999993</v>
      </c>
      <c r="P515">
        <f t="shared" ref="P515:P578" si="42">F515*I515</f>
        <v>14330.399999999969</v>
      </c>
      <c r="Q515">
        <f t="shared" ref="Q515:Q578" si="43">P515-O515</f>
        <v>5330.0999999999694</v>
      </c>
      <c r="R515">
        <f t="shared" ref="R515:R578" si="44">(Q515/P515)*100</f>
        <v>37.194356054262137</v>
      </c>
    </row>
    <row r="516" spans="1:18" x14ac:dyDescent="0.35">
      <c r="A516">
        <v>1076</v>
      </c>
      <c r="B516" s="1">
        <v>45007</v>
      </c>
      <c r="C516" t="s">
        <v>29</v>
      </c>
      <c r="D516" t="s">
        <v>23</v>
      </c>
      <c r="E516">
        <v>316.94</v>
      </c>
      <c r="F516">
        <v>23</v>
      </c>
      <c r="G516" t="s">
        <v>24</v>
      </c>
      <c r="H516">
        <v>2759.16</v>
      </c>
      <c r="I516">
        <v>2864.45</v>
      </c>
      <c r="J516" t="s">
        <v>17</v>
      </c>
      <c r="K516">
        <v>0.18</v>
      </c>
      <c r="L516" t="s">
        <v>28</v>
      </c>
      <c r="M516" t="s">
        <v>21</v>
      </c>
      <c r="N516" t="str">
        <f t="shared" si="40"/>
        <v>South-Charlie</v>
      </c>
      <c r="O516">
        <f t="shared" si="41"/>
        <v>63460.679999999993</v>
      </c>
      <c r="P516">
        <f t="shared" si="42"/>
        <v>65882.349999999991</v>
      </c>
      <c r="Q516">
        <f t="shared" si="43"/>
        <v>2421.6699999999983</v>
      </c>
      <c r="R516">
        <f t="shared" si="44"/>
        <v>3.6757492712388049</v>
      </c>
    </row>
    <row r="517" spans="1:18" x14ac:dyDescent="0.35">
      <c r="A517">
        <v>1016</v>
      </c>
      <c r="B517" s="1">
        <v>45141</v>
      </c>
      <c r="C517" t="s">
        <v>33</v>
      </c>
      <c r="D517" t="s">
        <v>20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tr">
        <f t="shared" si="40"/>
        <v>West-Alice</v>
      </c>
      <c r="O517">
        <f t="shared" si="41"/>
        <v>71322.880000000005</v>
      </c>
      <c r="P517">
        <f t="shared" si="42"/>
        <v>75888.479999999996</v>
      </c>
      <c r="Q517">
        <f t="shared" si="43"/>
        <v>4565.5999999999913</v>
      </c>
      <c r="R517">
        <f t="shared" si="44"/>
        <v>6.0161963976613997</v>
      </c>
    </row>
    <row r="518" spans="1:18" x14ac:dyDescent="0.35">
      <c r="A518">
        <v>1090</v>
      </c>
      <c r="B518" s="1">
        <v>45124</v>
      </c>
      <c r="C518" t="s">
        <v>22</v>
      </c>
      <c r="D518" t="s">
        <v>15</v>
      </c>
      <c r="E518">
        <v>5076.05</v>
      </c>
      <c r="F518">
        <v>14</v>
      </c>
      <c r="G518" t="s">
        <v>31</v>
      </c>
      <c r="H518">
        <v>1350.47</v>
      </c>
      <c r="I518">
        <v>1514.61</v>
      </c>
      <c r="J518" t="s">
        <v>27</v>
      </c>
      <c r="K518">
        <v>0.2</v>
      </c>
      <c r="L518" t="s">
        <v>28</v>
      </c>
      <c r="M518" t="s">
        <v>21</v>
      </c>
      <c r="N518" t="str">
        <f t="shared" si="40"/>
        <v>North-David</v>
      </c>
      <c r="O518">
        <f t="shared" si="41"/>
        <v>18906.580000000002</v>
      </c>
      <c r="P518">
        <f t="shared" si="42"/>
        <v>21204.539999999997</v>
      </c>
      <c r="Q518">
        <f t="shared" si="43"/>
        <v>2297.9599999999955</v>
      </c>
      <c r="R518">
        <f t="shared" si="44"/>
        <v>10.837113184252031</v>
      </c>
    </row>
    <row r="519" spans="1:18" x14ac:dyDescent="0.35">
      <c r="A519">
        <v>1090</v>
      </c>
      <c r="B519" s="1">
        <v>45126</v>
      </c>
      <c r="C519" t="s">
        <v>29</v>
      </c>
      <c r="D519" t="s">
        <v>20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25</v>
      </c>
      <c r="M519" t="s">
        <v>21</v>
      </c>
      <c r="N519" t="str">
        <f t="shared" si="40"/>
        <v>West-Charlie</v>
      </c>
      <c r="O519">
        <f t="shared" si="41"/>
        <v>23876.300000000003</v>
      </c>
      <c r="P519">
        <f t="shared" si="42"/>
        <v>24389.699999999997</v>
      </c>
      <c r="Q519">
        <f t="shared" si="43"/>
        <v>513.39999999999418</v>
      </c>
      <c r="R519">
        <f t="shared" si="44"/>
        <v>2.1049869412087654</v>
      </c>
    </row>
    <row r="520" spans="1:18" x14ac:dyDescent="0.35">
      <c r="A520">
        <v>1048</v>
      </c>
      <c r="B520" s="1">
        <v>44951</v>
      </c>
      <c r="C520" t="s">
        <v>32</v>
      </c>
      <c r="D520" t="s">
        <v>23</v>
      </c>
      <c r="E520">
        <v>4961.8500000000004</v>
      </c>
      <c r="F520">
        <v>7</v>
      </c>
      <c r="G520" t="s">
        <v>31</v>
      </c>
      <c r="H520">
        <v>1655.43</v>
      </c>
      <c r="I520">
        <v>2001.08</v>
      </c>
      <c r="J520" t="s">
        <v>27</v>
      </c>
      <c r="K520">
        <v>0.19</v>
      </c>
      <c r="L520" t="s">
        <v>25</v>
      </c>
      <c r="M520" t="s">
        <v>19</v>
      </c>
      <c r="N520" t="str">
        <f t="shared" si="40"/>
        <v>South-Eve</v>
      </c>
      <c r="O520">
        <f t="shared" si="41"/>
        <v>11588.01</v>
      </c>
      <c r="P520">
        <f t="shared" si="42"/>
        <v>14007.56</v>
      </c>
      <c r="Q520">
        <f t="shared" si="43"/>
        <v>2419.5499999999993</v>
      </c>
      <c r="R520">
        <f t="shared" si="44"/>
        <v>17.273172486857092</v>
      </c>
    </row>
    <row r="521" spans="1:18" x14ac:dyDescent="0.35">
      <c r="A521">
        <v>1085</v>
      </c>
      <c r="B521" s="1">
        <v>45015</v>
      </c>
      <c r="C521" t="s">
        <v>22</v>
      </c>
      <c r="D521" t="s">
        <v>20</v>
      </c>
      <c r="E521">
        <v>9278.4</v>
      </c>
      <c r="F521">
        <v>45</v>
      </c>
      <c r="G521" t="s">
        <v>26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21</v>
      </c>
      <c r="N521" t="str">
        <f t="shared" si="40"/>
        <v>West-David</v>
      </c>
      <c r="O521">
        <f t="shared" si="41"/>
        <v>214339.94999999998</v>
      </c>
      <c r="P521">
        <f t="shared" si="42"/>
        <v>230395.94999999998</v>
      </c>
      <c r="Q521">
        <f t="shared" si="43"/>
        <v>16056</v>
      </c>
      <c r="R521">
        <f t="shared" si="44"/>
        <v>6.9688724997119085</v>
      </c>
    </row>
    <row r="522" spans="1:18" x14ac:dyDescent="0.35">
      <c r="A522">
        <v>1039</v>
      </c>
      <c r="B522" s="1">
        <v>45194</v>
      </c>
      <c r="C522" t="s">
        <v>32</v>
      </c>
      <c r="D522" t="s">
        <v>20</v>
      </c>
      <c r="E522">
        <v>1143.3900000000001</v>
      </c>
      <c r="F522">
        <v>37</v>
      </c>
      <c r="G522" t="s">
        <v>31</v>
      </c>
      <c r="H522">
        <v>4127.05</v>
      </c>
      <c r="I522">
        <v>4313.45</v>
      </c>
      <c r="J522" t="s">
        <v>27</v>
      </c>
      <c r="K522">
        <v>0.16</v>
      </c>
      <c r="L522" t="s">
        <v>18</v>
      </c>
      <c r="M522" t="s">
        <v>19</v>
      </c>
      <c r="N522" t="str">
        <f t="shared" si="40"/>
        <v>West-Eve</v>
      </c>
      <c r="O522">
        <f t="shared" si="41"/>
        <v>152700.85</v>
      </c>
      <c r="P522">
        <f t="shared" si="42"/>
        <v>159597.65</v>
      </c>
      <c r="Q522">
        <f t="shared" si="43"/>
        <v>6896.7999999999884</v>
      </c>
      <c r="R522">
        <f t="shared" si="44"/>
        <v>4.3213668872943858</v>
      </c>
    </row>
    <row r="523" spans="1:18" x14ac:dyDescent="0.35">
      <c r="A523">
        <v>1100</v>
      </c>
      <c r="B523" s="1">
        <v>45069</v>
      </c>
      <c r="C523" t="s">
        <v>14</v>
      </c>
      <c r="D523" t="s">
        <v>20</v>
      </c>
      <c r="E523">
        <v>7667.96</v>
      </c>
      <c r="F523">
        <v>29</v>
      </c>
      <c r="G523" t="s">
        <v>24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21</v>
      </c>
      <c r="N523" t="str">
        <f t="shared" si="40"/>
        <v>West-Bob</v>
      </c>
      <c r="O523">
        <f t="shared" si="41"/>
        <v>103227.24</v>
      </c>
      <c r="P523">
        <f t="shared" si="42"/>
        <v>104607.35</v>
      </c>
      <c r="Q523">
        <f t="shared" si="43"/>
        <v>1380.1100000000006</v>
      </c>
      <c r="R523">
        <f t="shared" si="44"/>
        <v>1.3193241201502577</v>
      </c>
    </row>
    <row r="524" spans="1:18" x14ac:dyDescent="0.35">
      <c r="A524">
        <v>1033</v>
      </c>
      <c r="B524" s="1">
        <v>44985</v>
      </c>
      <c r="C524" t="s">
        <v>22</v>
      </c>
      <c r="D524" t="s">
        <v>20</v>
      </c>
      <c r="E524">
        <v>4155.74</v>
      </c>
      <c r="F524">
        <v>3</v>
      </c>
      <c r="G524" t="s">
        <v>26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tr">
        <f t="shared" si="40"/>
        <v>West-David</v>
      </c>
      <c r="O524">
        <f t="shared" si="41"/>
        <v>8876.25</v>
      </c>
      <c r="P524">
        <f t="shared" si="42"/>
        <v>9532.92</v>
      </c>
      <c r="Q524">
        <f t="shared" si="43"/>
        <v>656.67000000000007</v>
      </c>
      <c r="R524">
        <f t="shared" si="44"/>
        <v>6.8884455130222442</v>
      </c>
    </row>
    <row r="525" spans="1:18" x14ac:dyDescent="0.35">
      <c r="A525">
        <v>1094</v>
      </c>
      <c r="B525" s="1">
        <v>45291</v>
      </c>
      <c r="C525" t="s">
        <v>14</v>
      </c>
      <c r="D525" t="s">
        <v>23</v>
      </c>
      <c r="E525">
        <v>6586.22</v>
      </c>
      <c r="F525">
        <v>15</v>
      </c>
      <c r="G525" t="s">
        <v>24</v>
      </c>
      <c r="H525">
        <v>4111.93</v>
      </c>
      <c r="I525">
        <v>4338.67</v>
      </c>
      <c r="J525" t="s">
        <v>17</v>
      </c>
      <c r="K525">
        <v>0.26</v>
      </c>
      <c r="L525" t="s">
        <v>28</v>
      </c>
      <c r="M525" t="s">
        <v>19</v>
      </c>
      <c r="N525" t="str">
        <f t="shared" si="40"/>
        <v>South-Bob</v>
      </c>
      <c r="O525">
        <f t="shared" si="41"/>
        <v>61678.950000000004</v>
      </c>
      <c r="P525">
        <f t="shared" si="42"/>
        <v>65080.05</v>
      </c>
      <c r="Q525">
        <f t="shared" si="43"/>
        <v>3401.0999999999985</v>
      </c>
      <c r="R525">
        <f t="shared" si="44"/>
        <v>5.2260254870732252</v>
      </c>
    </row>
    <row r="526" spans="1:18" x14ac:dyDescent="0.35">
      <c r="A526">
        <v>1023</v>
      </c>
      <c r="B526" s="1">
        <v>44952</v>
      </c>
      <c r="C526" t="s">
        <v>22</v>
      </c>
      <c r="D526" t="s">
        <v>15</v>
      </c>
      <c r="E526">
        <v>2676.34</v>
      </c>
      <c r="F526">
        <v>36</v>
      </c>
      <c r="G526" t="s">
        <v>26</v>
      </c>
      <c r="H526">
        <v>1991.72</v>
      </c>
      <c r="I526">
        <v>2329.37</v>
      </c>
      <c r="J526" t="s">
        <v>27</v>
      </c>
      <c r="K526">
        <v>0.28000000000000003</v>
      </c>
      <c r="L526" t="s">
        <v>28</v>
      </c>
      <c r="M526" t="s">
        <v>21</v>
      </c>
      <c r="N526" t="str">
        <f t="shared" si="40"/>
        <v>North-David</v>
      </c>
      <c r="O526">
        <f t="shared" si="41"/>
        <v>71701.919999999998</v>
      </c>
      <c r="P526">
        <f t="shared" si="42"/>
        <v>83857.319999999992</v>
      </c>
      <c r="Q526">
        <f t="shared" si="43"/>
        <v>12155.399999999994</v>
      </c>
      <c r="R526">
        <f t="shared" si="44"/>
        <v>14.495335648694708</v>
      </c>
    </row>
    <row r="527" spans="1:18" x14ac:dyDescent="0.35">
      <c r="A527">
        <v>1010</v>
      </c>
      <c r="B527" s="1">
        <v>44973</v>
      </c>
      <c r="C527" t="s">
        <v>22</v>
      </c>
      <c r="D527" t="s">
        <v>30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25</v>
      </c>
      <c r="M527" t="s">
        <v>19</v>
      </c>
      <c r="N527" t="str">
        <f t="shared" si="40"/>
        <v>East-David</v>
      </c>
      <c r="O527">
        <f t="shared" si="41"/>
        <v>106472.86</v>
      </c>
      <c r="P527">
        <f t="shared" si="42"/>
        <v>114206.70999999999</v>
      </c>
      <c r="Q527">
        <f t="shared" si="43"/>
        <v>7733.8499999999913</v>
      </c>
      <c r="R527">
        <f t="shared" si="44"/>
        <v>6.7718000106998897</v>
      </c>
    </row>
    <row r="528" spans="1:18" x14ac:dyDescent="0.35">
      <c r="A528">
        <v>1069</v>
      </c>
      <c r="B528" s="1">
        <v>45214</v>
      </c>
      <c r="C528" t="s">
        <v>14</v>
      </c>
      <c r="D528" t="s">
        <v>20</v>
      </c>
      <c r="E528">
        <v>1688.58</v>
      </c>
      <c r="F528">
        <v>46</v>
      </c>
      <c r="G528" t="s">
        <v>24</v>
      </c>
      <c r="H528">
        <v>3663.51</v>
      </c>
      <c r="I528">
        <v>4007.98</v>
      </c>
      <c r="J528" t="s">
        <v>27</v>
      </c>
      <c r="K528">
        <v>0.13</v>
      </c>
      <c r="L528" t="s">
        <v>18</v>
      </c>
      <c r="M528" t="s">
        <v>19</v>
      </c>
      <c r="N528" t="str">
        <f t="shared" si="40"/>
        <v>West-Bob</v>
      </c>
      <c r="O528">
        <f t="shared" si="41"/>
        <v>168521.46000000002</v>
      </c>
      <c r="P528">
        <f t="shared" si="42"/>
        <v>184367.08</v>
      </c>
      <c r="Q528">
        <f t="shared" si="43"/>
        <v>15845.619999999966</v>
      </c>
      <c r="R528">
        <f t="shared" si="44"/>
        <v>8.5946037654878342</v>
      </c>
    </row>
    <row r="529" spans="1:18" x14ac:dyDescent="0.35">
      <c r="A529">
        <v>1100</v>
      </c>
      <c r="B529" s="1">
        <v>45192</v>
      </c>
      <c r="C529" t="s">
        <v>29</v>
      </c>
      <c r="D529" t="s">
        <v>15</v>
      </c>
      <c r="E529">
        <v>797.87</v>
      </c>
      <c r="F529">
        <v>19</v>
      </c>
      <c r="G529" t="s">
        <v>31</v>
      </c>
      <c r="H529">
        <v>1820.89</v>
      </c>
      <c r="I529">
        <v>2257.92</v>
      </c>
      <c r="J529" t="s">
        <v>27</v>
      </c>
      <c r="K529">
        <v>0.12</v>
      </c>
      <c r="L529" t="s">
        <v>18</v>
      </c>
      <c r="M529" t="s">
        <v>21</v>
      </c>
      <c r="N529" t="str">
        <f t="shared" si="40"/>
        <v>North-Charlie</v>
      </c>
      <c r="O529">
        <f t="shared" si="41"/>
        <v>34596.910000000003</v>
      </c>
      <c r="P529">
        <f t="shared" si="42"/>
        <v>42900.480000000003</v>
      </c>
      <c r="Q529">
        <f t="shared" si="43"/>
        <v>8303.57</v>
      </c>
      <c r="R529">
        <f t="shared" si="44"/>
        <v>19.355424461451246</v>
      </c>
    </row>
    <row r="530" spans="1:18" x14ac:dyDescent="0.35">
      <c r="A530">
        <v>1034</v>
      </c>
      <c r="B530" s="1">
        <v>44942</v>
      </c>
      <c r="C530" t="s">
        <v>33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27</v>
      </c>
      <c r="K530">
        <v>0.12</v>
      </c>
      <c r="L530" t="s">
        <v>28</v>
      </c>
      <c r="M530" t="s">
        <v>21</v>
      </c>
      <c r="N530" t="str">
        <f t="shared" si="40"/>
        <v>North-Alice</v>
      </c>
      <c r="O530">
        <f t="shared" si="41"/>
        <v>4762.03</v>
      </c>
      <c r="P530">
        <f t="shared" si="42"/>
        <v>6404.84</v>
      </c>
      <c r="Q530">
        <f t="shared" si="43"/>
        <v>1642.8100000000004</v>
      </c>
      <c r="R530">
        <f t="shared" si="44"/>
        <v>25.64950880896323</v>
      </c>
    </row>
    <row r="531" spans="1:18" x14ac:dyDescent="0.35">
      <c r="A531">
        <v>1052</v>
      </c>
      <c r="B531" s="1">
        <v>45125</v>
      </c>
      <c r="C531" t="s">
        <v>32</v>
      </c>
      <c r="D531" t="s">
        <v>23</v>
      </c>
      <c r="E531">
        <v>6675.77</v>
      </c>
      <c r="F531">
        <v>42</v>
      </c>
      <c r="G531" t="s">
        <v>31</v>
      </c>
      <c r="H531">
        <v>417.96</v>
      </c>
      <c r="I531">
        <v>907.63</v>
      </c>
      <c r="J531" t="s">
        <v>27</v>
      </c>
      <c r="K531">
        <v>0.04</v>
      </c>
      <c r="L531" t="s">
        <v>18</v>
      </c>
      <c r="M531" t="s">
        <v>21</v>
      </c>
      <c r="N531" t="str">
        <f t="shared" si="40"/>
        <v>South-Eve</v>
      </c>
      <c r="O531">
        <f t="shared" si="41"/>
        <v>17554.32</v>
      </c>
      <c r="P531">
        <f t="shared" si="42"/>
        <v>38120.46</v>
      </c>
      <c r="Q531">
        <f t="shared" si="43"/>
        <v>20566.14</v>
      </c>
      <c r="R531">
        <f t="shared" si="44"/>
        <v>53.950398290052114</v>
      </c>
    </row>
    <row r="532" spans="1:18" x14ac:dyDescent="0.35">
      <c r="A532">
        <v>1095</v>
      </c>
      <c r="B532" s="1">
        <v>45208</v>
      </c>
      <c r="C532" t="s">
        <v>22</v>
      </c>
      <c r="D532" t="s">
        <v>15</v>
      </c>
      <c r="E532">
        <v>8828.74</v>
      </c>
      <c r="F532">
        <v>21</v>
      </c>
      <c r="G532" t="s">
        <v>26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25</v>
      </c>
      <c r="M532" t="s">
        <v>19</v>
      </c>
      <c r="N532" t="str">
        <f t="shared" si="40"/>
        <v>North-David</v>
      </c>
      <c r="O532">
        <f t="shared" si="41"/>
        <v>13042.05</v>
      </c>
      <c r="P532">
        <f t="shared" si="42"/>
        <v>17227.769999999979</v>
      </c>
      <c r="Q532">
        <f t="shared" si="43"/>
        <v>4185.7199999999793</v>
      </c>
      <c r="R532">
        <f t="shared" si="44"/>
        <v>24.29635408413268</v>
      </c>
    </row>
    <row r="533" spans="1:18" x14ac:dyDescent="0.35">
      <c r="A533">
        <v>1010</v>
      </c>
      <c r="B533" s="1">
        <v>45012</v>
      </c>
      <c r="C533" t="s">
        <v>32</v>
      </c>
      <c r="D533" t="s">
        <v>23</v>
      </c>
      <c r="E533">
        <v>8159.84</v>
      </c>
      <c r="F533">
        <v>37</v>
      </c>
      <c r="G533" t="s">
        <v>26</v>
      </c>
      <c r="H533">
        <v>4354.92</v>
      </c>
      <c r="I533">
        <v>4495.88</v>
      </c>
      <c r="J533" t="s">
        <v>17</v>
      </c>
      <c r="K533">
        <v>0.01</v>
      </c>
      <c r="L533" t="s">
        <v>25</v>
      </c>
      <c r="M533" t="s">
        <v>19</v>
      </c>
      <c r="N533" t="str">
        <f t="shared" si="40"/>
        <v>South-Eve</v>
      </c>
      <c r="O533">
        <f t="shared" si="41"/>
        <v>161132.04</v>
      </c>
      <c r="P533">
        <f t="shared" si="42"/>
        <v>166347.56</v>
      </c>
      <c r="Q533">
        <f t="shared" si="43"/>
        <v>5215.5199999999895</v>
      </c>
      <c r="R533">
        <f t="shared" si="44"/>
        <v>3.1353149995106571</v>
      </c>
    </row>
    <row r="534" spans="1:18" x14ac:dyDescent="0.35">
      <c r="A534">
        <v>1019</v>
      </c>
      <c r="B534" s="1">
        <v>45176</v>
      </c>
      <c r="C534" t="s">
        <v>14</v>
      </c>
      <c r="D534" t="s">
        <v>20</v>
      </c>
      <c r="E534">
        <v>6882.83</v>
      </c>
      <c r="F534">
        <v>27</v>
      </c>
      <c r="G534" t="s">
        <v>31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tr">
        <f t="shared" si="40"/>
        <v>West-Bob</v>
      </c>
      <c r="O534">
        <f t="shared" si="41"/>
        <v>64463.040000000001</v>
      </c>
      <c r="P534">
        <f t="shared" si="42"/>
        <v>70309.62</v>
      </c>
      <c r="Q534">
        <f t="shared" si="43"/>
        <v>5846.5799999999945</v>
      </c>
      <c r="R534">
        <f t="shared" si="44"/>
        <v>8.315476601921608</v>
      </c>
    </row>
    <row r="535" spans="1:18" x14ac:dyDescent="0.35">
      <c r="A535">
        <v>1058</v>
      </c>
      <c r="B535" s="1">
        <v>45196</v>
      </c>
      <c r="C535" t="s">
        <v>32</v>
      </c>
      <c r="D535" t="s">
        <v>20</v>
      </c>
      <c r="E535">
        <v>1193.28</v>
      </c>
      <c r="F535">
        <v>29</v>
      </c>
      <c r="G535" t="s">
        <v>31</v>
      </c>
      <c r="H535">
        <v>3578.77</v>
      </c>
      <c r="I535">
        <v>3635.02</v>
      </c>
      <c r="J535" t="s">
        <v>27</v>
      </c>
      <c r="K535">
        <v>0.2</v>
      </c>
      <c r="L535" t="s">
        <v>25</v>
      </c>
      <c r="M535" t="s">
        <v>21</v>
      </c>
      <c r="N535" t="str">
        <f t="shared" si="40"/>
        <v>West-Eve</v>
      </c>
      <c r="O535">
        <f t="shared" si="41"/>
        <v>103784.33</v>
      </c>
      <c r="P535">
        <f t="shared" si="42"/>
        <v>105415.58</v>
      </c>
      <c r="Q535">
        <f t="shared" si="43"/>
        <v>1631.25</v>
      </c>
      <c r="R535">
        <f t="shared" si="44"/>
        <v>1.547446781585796</v>
      </c>
    </row>
    <row r="536" spans="1:18" x14ac:dyDescent="0.35">
      <c r="A536">
        <v>1096</v>
      </c>
      <c r="B536" s="1">
        <v>45261</v>
      </c>
      <c r="C536" t="s">
        <v>14</v>
      </c>
      <c r="D536" t="s">
        <v>30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25</v>
      </c>
      <c r="M536" t="s">
        <v>19</v>
      </c>
      <c r="N536" t="str">
        <f t="shared" si="40"/>
        <v>East-Bob</v>
      </c>
      <c r="O536">
        <f t="shared" si="41"/>
        <v>39898</v>
      </c>
      <c r="P536">
        <f t="shared" si="42"/>
        <v>41330</v>
      </c>
      <c r="Q536">
        <f t="shared" si="43"/>
        <v>1432</v>
      </c>
      <c r="R536">
        <f t="shared" si="44"/>
        <v>3.464795548028067</v>
      </c>
    </row>
    <row r="537" spans="1:18" x14ac:dyDescent="0.35">
      <c r="A537">
        <v>1001</v>
      </c>
      <c r="B537" s="1">
        <v>45043</v>
      </c>
      <c r="C537" t="s">
        <v>32</v>
      </c>
      <c r="D537" t="s">
        <v>30</v>
      </c>
      <c r="E537">
        <v>3167.09</v>
      </c>
      <c r="F537">
        <v>25</v>
      </c>
      <c r="G537" t="s">
        <v>31</v>
      </c>
      <c r="H537">
        <v>1330.62</v>
      </c>
      <c r="I537">
        <v>1543.6899999999901</v>
      </c>
      <c r="J537" t="s">
        <v>27</v>
      </c>
      <c r="K537">
        <v>0.27</v>
      </c>
      <c r="L537" t="s">
        <v>28</v>
      </c>
      <c r="M537" t="s">
        <v>19</v>
      </c>
      <c r="N537" t="str">
        <f t="shared" si="40"/>
        <v>East-Eve</v>
      </c>
      <c r="O537">
        <f t="shared" si="41"/>
        <v>33265.5</v>
      </c>
      <c r="P537">
        <f t="shared" si="42"/>
        <v>38592.249999999753</v>
      </c>
      <c r="Q537">
        <f t="shared" si="43"/>
        <v>5326.7499999997526</v>
      </c>
      <c r="R537">
        <f t="shared" si="44"/>
        <v>13.802641722106864</v>
      </c>
    </row>
    <row r="538" spans="1:18" x14ac:dyDescent="0.35">
      <c r="A538">
        <v>1069</v>
      </c>
      <c r="B538" s="1">
        <v>44933</v>
      </c>
      <c r="C538" t="s">
        <v>33</v>
      </c>
      <c r="D538" t="s">
        <v>30</v>
      </c>
      <c r="E538">
        <v>2574.5700000000002</v>
      </c>
      <c r="F538">
        <v>6</v>
      </c>
      <c r="G538" t="s">
        <v>24</v>
      </c>
      <c r="H538">
        <v>1768.6</v>
      </c>
      <c r="I538">
        <v>2152.1999999999998</v>
      </c>
      <c r="J538" t="s">
        <v>27</v>
      </c>
      <c r="K538">
        <v>0.25</v>
      </c>
      <c r="L538" t="s">
        <v>25</v>
      </c>
      <c r="M538" t="s">
        <v>21</v>
      </c>
      <c r="N538" t="str">
        <f t="shared" si="40"/>
        <v>East-Alice</v>
      </c>
      <c r="O538">
        <f t="shared" si="41"/>
        <v>10611.599999999999</v>
      </c>
      <c r="P538">
        <f t="shared" si="42"/>
        <v>12913.199999999999</v>
      </c>
      <c r="Q538">
        <f t="shared" si="43"/>
        <v>2301.6000000000004</v>
      </c>
      <c r="R538">
        <f t="shared" si="44"/>
        <v>17.823622339931237</v>
      </c>
    </row>
    <row r="539" spans="1:18" x14ac:dyDescent="0.35">
      <c r="A539">
        <v>1004</v>
      </c>
      <c r="B539" s="1">
        <v>45063</v>
      </c>
      <c r="C539" t="s">
        <v>33</v>
      </c>
      <c r="D539" t="s">
        <v>15</v>
      </c>
      <c r="E539">
        <v>5198.5600000000004</v>
      </c>
      <c r="F539">
        <v>36</v>
      </c>
      <c r="G539" t="s">
        <v>24</v>
      </c>
      <c r="H539">
        <v>3981.2</v>
      </c>
      <c r="I539">
        <v>4432.3499999999904</v>
      </c>
      <c r="J539" t="s">
        <v>27</v>
      </c>
      <c r="K539">
        <v>0.14000000000000001</v>
      </c>
      <c r="L539" t="s">
        <v>18</v>
      </c>
      <c r="M539" t="s">
        <v>19</v>
      </c>
      <c r="N539" t="str">
        <f t="shared" si="40"/>
        <v>North-Alice</v>
      </c>
      <c r="O539">
        <f t="shared" si="41"/>
        <v>143323.19999999998</v>
      </c>
      <c r="P539">
        <f t="shared" si="42"/>
        <v>159564.59999999966</v>
      </c>
      <c r="Q539">
        <f t="shared" si="43"/>
        <v>16241.399999999674</v>
      </c>
      <c r="R539">
        <f t="shared" si="44"/>
        <v>10.178573442981531</v>
      </c>
    </row>
    <row r="540" spans="1:18" x14ac:dyDescent="0.35">
      <c r="A540">
        <v>1016</v>
      </c>
      <c r="B540" s="1">
        <v>45102</v>
      </c>
      <c r="C540" t="s">
        <v>33</v>
      </c>
      <c r="D540" t="s">
        <v>20</v>
      </c>
      <c r="E540">
        <v>5401.98</v>
      </c>
      <c r="F540">
        <v>2</v>
      </c>
      <c r="G540" t="s">
        <v>31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21</v>
      </c>
      <c r="N540" t="str">
        <f t="shared" si="40"/>
        <v>West-Alice</v>
      </c>
      <c r="O540">
        <f t="shared" si="41"/>
        <v>6289.64</v>
      </c>
      <c r="P540">
        <f t="shared" si="42"/>
        <v>6961.16</v>
      </c>
      <c r="Q540">
        <f t="shared" si="43"/>
        <v>671.51999999999953</v>
      </c>
      <c r="R540">
        <f t="shared" si="44"/>
        <v>9.6466680840549497</v>
      </c>
    </row>
    <row r="541" spans="1:18" x14ac:dyDescent="0.35">
      <c r="A541">
        <v>1024</v>
      </c>
      <c r="B541" s="1">
        <v>45254</v>
      </c>
      <c r="C541" t="s">
        <v>33</v>
      </c>
      <c r="D541" t="s">
        <v>23</v>
      </c>
      <c r="E541">
        <v>3633.17</v>
      </c>
      <c r="F541">
        <v>22</v>
      </c>
      <c r="G541" t="s">
        <v>24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25</v>
      </c>
      <c r="M541" t="s">
        <v>21</v>
      </c>
      <c r="N541" t="str">
        <f t="shared" si="40"/>
        <v>South-Alice</v>
      </c>
      <c r="O541">
        <f t="shared" si="41"/>
        <v>103209.04</v>
      </c>
      <c r="P541">
        <f t="shared" si="42"/>
        <v>104563.36</v>
      </c>
      <c r="Q541">
        <f t="shared" si="43"/>
        <v>1354.320000000007</v>
      </c>
      <c r="R541">
        <f t="shared" si="44"/>
        <v>1.2952146908821665</v>
      </c>
    </row>
    <row r="542" spans="1:18" x14ac:dyDescent="0.35">
      <c r="A542">
        <v>1080</v>
      </c>
      <c r="B542" s="1">
        <v>45241</v>
      </c>
      <c r="C542" t="s">
        <v>33</v>
      </c>
      <c r="D542" t="s">
        <v>30</v>
      </c>
      <c r="E542">
        <v>3602.51</v>
      </c>
      <c r="F542">
        <v>32</v>
      </c>
      <c r="G542" t="s">
        <v>31</v>
      </c>
      <c r="H542">
        <v>3414.54</v>
      </c>
      <c r="I542">
        <v>3753.83</v>
      </c>
      <c r="J542" t="s">
        <v>27</v>
      </c>
      <c r="K542">
        <v>0.22</v>
      </c>
      <c r="L542" t="s">
        <v>18</v>
      </c>
      <c r="M542" t="s">
        <v>21</v>
      </c>
      <c r="N542" t="str">
        <f t="shared" si="40"/>
        <v>East-Alice</v>
      </c>
      <c r="O542">
        <f t="shared" si="41"/>
        <v>109265.28</v>
      </c>
      <c r="P542">
        <f t="shared" si="42"/>
        <v>120122.56</v>
      </c>
      <c r="Q542">
        <f t="shared" si="43"/>
        <v>10857.279999999999</v>
      </c>
      <c r="R542">
        <f t="shared" si="44"/>
        <v>9.0385020099471731</v>
      </c>
    </row>
    <row r="543" spans="1:18" x14ac:dyDescent="0.35">
      <c r="A543">
        <v>1002</v>
      </c>
      <c r="B543" s="1">
        <v>45141</v>
      </c>
      <c r="C543" t="s">
        <v>33</v>
      </c>
      <c r="D543" t="s">
        <v>23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28</v>
      </c>
      <c r="M543" t="s">
        <v>19</v>
      </c>
      <c r="N543" t="str">
        <f t="shared" si="40"/>
        <v>South-Alice</v>
      </c>
      <c r="O543">
        <f t="shared" si="41"/>
        <v>45958.400000000001</v>
      </c>
      <c r="P543">
        <f t="shared" si="42"/>
        <v>51100.160000000003</v>
      </c>
      <c r="Q543">
        <f t="shared" si="43"/>
        <v>5141.760000000002</v>
      </c>
      <c r="R543">
        <f t="shared" si="44"/>
        <v>10.062121136215623</v>
      </c>
    </row>
    <row r="544" spans="1:18" x14ac:dyDescent="0.35">
      <c r="A544">
        <v>1092</v>
      </c>
      <c r="B544" s="1">
        <v>45008</v>
      </c>
      <c r="C544" t="s">
        <v>14</v>
      </c>
      <c r="D544" t="s">
        <v>23</v>
      </c>
      <c r="E544">
        <v>7914</v>
      </c>
      <c r="F544">
        <v>18</v>
      </c>
      <c r="G544" t="s">
        <v>24</v>
      </c>
      <c r="H544">
        <v>3070.47</v>
      </c>
      <c r="I544">
        <v>3475.29</v>
      </c>
      <c r="J544" t="s">
        <v>17</v>
      </c>
      <c r="K544">
        <v>0.2</v>
      </c>
      <c r="L544" t="s">
        <v>25</v>
      </c>
      <c r="M544" t="s">
        <v>19</v>
      </c>
      <c r="N544" t="str">
        <f t="shared" si="40"/>
        <v>South-Bob</v>
      </c>
      <c r="O544">
        <f t="shared" si="41"/>
        <v>55268.46</v>
      </c>
      <c r="P544">
        <f t="shared" si="42"/>
        <v>62555.22</v>
      </c>
      <c r="Q544">
        <f t="shared" si="43"/>
        <v>7286.760000000002</v>
      </c>
      <c r="R544">
        <f t="shared" si="44"/>
        <v>11.648524295814164</v>
      </c>
    </row>
    <row r="545" spans="1:18" x14ac:dyDescent="0.35">
      <c r="A545">
        <v>1032</v>
      </c>
      <c r="B545" s="1">
        <v>45149</v>
      </c>
      <c r="C545" t="s">
        <v>22</v>
      </c>
      <c r="D545" t="s">
        <v>30</v>
      </c>
      <c r="E545">
        <v>3147.18</v>
      </c>
      <c r="F545">
        <v>5</v>
      </c>
      <c r="G545" t="s">
        <v>24</v>
      </c>
      <c r="H545">
        <v>4714.74</v>
      </c>
      <c r="I545">
        <v>5129.1099999999997</v>
      </c>
      <c r="J545" t="s">
        <v>27</v>
      </c>
      <c r="K545">
        <v>0.25</v>
      </c>
      <c r="L545" t="s">
        <v>25</v>
      </c>
      <c r="M545" t="s">
        <v>19</v>
      </c>
      <c r="N545" t="str">
        <f t="shared" si="40"/>
        <v>East-David</v>
      </c>
      <c r="O545">
        <f t="shared" si="41"/>
        <v>23573.699999999997</v>
      </c>
      <c r="P545">
        <f t="shared" si="42"/>
        <v>25645.55</v>
      </c>
      <c r="Q545">
        <f t="shared" si="43"/>
        <v>2071.8500000000022</v>
      </c>
      <c r="R545">
        <f t="shared" si="44"/>
        <v>8.0787894975931582</v>
      </c>
    </row>
    <row r="546" spans="1:18" x14ac:dyDescent="0.35">
      <c r="A546">
        <v>1091</v>
      </c>
      <c r="B546" s="1">
        <v>45029</v>
      </c>
      <c r="C546" t="s">
        <v>32</v>
      </c>
      <c r="D546" t="s">
        <v>20</v>
      </c>
      <c r="E546">
        <v>9146.51</v>
      </c>
      <c r="F546">
        <v>36</v>
      </c>
      <c r="G546" t="s">
        <v>31</v>
      </c>
      <c r="H546">
        <v>3951.59</v>
      </c>
      <c r="I546">
        <v>4387.01</v>
      </c>
      <c r="J546" t="s">
        <v>27</v>
      </c>
      <c r="K546">
        <v>7.0000000000000007E-2</v>
      </c>
      <c r="L546" t="s">
        <v>25</v>
      </c>
      <c r="M546" t="s">
        <v>21</v>
      </c>
      <c r="N546" t="str">
        <f t="shared" si="40"/>
        <v>West-Eve</v>
      </c>
      <c r="O546">
        <f t="shared" si="41"/>
        <v>142257.24</v>
      </c>
      <c r="P546">
        <f t="shared" si="42"/>
        <v>157932.36000000002</v>
      </c>
      <c r="Q546">
        <f t="shared" si="43"/>
        <v>15675.120000000024</v>
      </c>
      <c r="R546">
        <f t="shared" si="44"/>
        <v>9.9252110207179971</v>
      </c>
    </row>
    <row r="547" spans="1:18" x14ac:dyDescent="0.35">
      <c r="A547">
        <v>1084</v>
      </c>
      <c r="B547" s="1">
        <v>45199</v>
      </c>
      <c r="C547" t="s">
        <v>33</v>
      </c>
      <c r="D547" t="s">
        <v>30</v>
      </c>
      <c r="E547">
        <v>9532.8700000000008</v>
      </c>
      <c r="F547">
        <v>30</v>
      </c>
      <c r="G547" t="s">
        <v>24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21</v>
      </c>
      <c r="N547" t="str">
        <f t="shared" si="40"/>
        <v>East-Alice</v>
      </c>
      <c r="O547">
        <f t="shared" si="41"/>
        <v>5070</v>
      </c>
      <c r="P547">
        <f t="shared" si="42"/>
        <v>11457.599999999969</v>
      </c>
      <c r="Q547">
        <f t="shared" si="43"/>
        <v>6387.5999999999694</v>
      </c>
      <c r="R547">
        <f t="shared" si="44"/>
        <v>55.749895266024183</v>
      </c>
    </row>
    <row r="548" spans="1:18" x14ac:dyDescent="0.35">
      <c r="A548">
        <v>1024</v>
      </c>
      <c r="B548" s="1">
        <v>44940</v>
      </c>
      <c r="C548" t="s">
        <v>14</v>
      </c>
      <c r="D548" t="s">
        <v>23</v>
      </c>
      <c r="E548">
        <v>3334.75</v>
      </c>
      <c r="F548">
        <v>45</v>
      </c>
      <c r="G548" t="s">
        <v>26</v>
      </c>
      <c r="H548">
        <v>2693.99</v>
      </c>
      <c r="I548">
        <v>3045.9399999999901</v>
      </c>
      <c r="J548" t="s">
        <v>27</v>
      </c>
      <c r="K548">
        <v>0.01</v>
      </c>
      <c r="L548" t="s">
        <v>18</v>
      </c>
      <c r="M548" t="s">
        <v>21</v>
      </c>
      <c r="N548" t="str">
        <f t="shared" si="40"/>
        <v>South-Bob</v>
      </c>
      <c r="O548">
        <f t="shared" si="41"/>
        <v>121229.54999999999</v>
      </c>
      <c r="P548">
        <f t="shared" si="42"/>
        <v>137067.29999999955</v>
      </c>
      <c r="Q548">
        <f t="shared" si="43"/>
        <v>15837.749999999563</v>
      </c>
      <c r="R548">
        <f t="shared" si="44"/>
        <v>11.554725306473253</v>
      </c>
    </row>
    <row r="549" spans="1:18" x14ac:dyDescent="0.35">
      <c r="A549">
        <v>1012</v>
      </c>
      <c r="B549" s="1">
        <v>45085</v>
      </c>
      <c r="C549" t="s">
        <v>14</v>
      </c>
      <c r="D549" t="s">
        <v>30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27</v>
      </c>
      <c r="K549">
        <v>0.27</v>
      </c>
      <c r="L549" t="s">
        <v>25</v>
      </c>
      <c r="M549" t="s">
        <v>19</v>
      </c>
      <c r="N549" t="str">
        <f t="shared" si="40"/>
        <v>East-Bob</v>
      </c>
      <c r="O549">
        <f t="shared" si="41"/>
        <v>65688.320000000007</v>
      </c>
      <c r="P549">
        <f t="shared" si="42"/>
        <v>68375.679999999993</v>
      </c>
      <c r="Q549">
        <f t="shared" si="43"/>
        <v>2687.359999999986</v>
      </c>
      <c r="R549">
        <f t="shared" si="44"/>
        <v>3.9302863240263006</v>
      </c>
    </row>
    <row r="550" spans="1:18" x14ac:dyDescent="0.35">
      <c r="A550">
        <v>1050</v>
      </c>
      <c r="B550" s="1">
        <v>45078</v>
      </c>
      <c r="C550" t="s">
        <v>14</v>
      </c>
      <c r="D550" t="s">
        <v>23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tr">
        <f t="shared" si="40"/>
        <v>South-Bob</v>
      </c>
      <c r="O550">
        <f t="shared" si="41"/>
        <v>86389.38</v>
      </c>
      <c r="P550">
        <f t="shared" si="42"/>
        <v>97881.79</v>
      </c>
      <c r="Q550">
        <f t="shared" si="43"/>
        <v>11492.409999999989</v>
      </c>
      <c r="R550">
        <f t="shared" si="44"/>
        <v>11.741111395694736</v>
      </c>
    </row>
    <row r="551" spans="1:18" x14ac:dyDescent="0.35">
      <c r="A551">
        <v>1035</v>
      </c>
      <c r="B551" s="1">
        <v>45034</v>
      </c>
      <c r="C551" t="s">
        <v>22</v>
      </c>
      <c r="D551" t="s">
        <v>23</v>
      </c>
      <c r="E551">
        <v>9417.1</v>
      </c>
      <c r="F551">
        <v>34</v>
      </c>
      <c r="G551" t="s">
        <v>24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tr">
        <f t="shared" si="40"/>
        <v>South-David</v>
      </c>
      <c r="O551">
        <f t="shared" si="41"/>
        <v>37571.699999999997</v>
      </c>
      <c r="P551">
        <f t="shared" si="42"/>
        <v>40832.639999999999</v>
      </c>
      <c r="Q551">
        <f t="shared" si="43"/>
        <v>3260.9400000000023</v>
      </c>
      <c r="R551">
        <f t="shared" si="44"/>
        <v>7.9861111111111178</v>
      </c>
    </row>
    <row r="552" spans="1:18" x14ac:dyDescent="0.35">
      <c r="A552">
        <v>1033</v>
      </c>
      <c r="B552" s="1">
        <v>45114</v>
      </c>
      <c r="C552" t="s">
        <v>32</v>
      </c>
      <c r="D552" t="s">
        <v>30</v>
      </c>
      <c r="E552">
        <v>8775.56</v>
      </c>
      <c r="F552">
        <v>13</v>
      </c>
      <c r="G552" t="s">
        <v>24</v>
      </c>
      <c r="H552">
        <v>4342.53</v>
      </c>
      <c r="I552">
        <v>4357.49</v>
      </c>
      <c r="J552" t="s">
        <v>27</v>
      </c>
      <c r="K552">
        <v>0.08</v>
      </c>
      <c r="L552" t="s">
        <v>25</v>
      </c>
      <c r="M552" t="s">
        <v>19</v>
      </c>
      <c r="N552" t="str">
        <f t="shared" si="40"/>
        <v>East-Eve</v>
      </c>
      <c r="O552">
        <f t="shared" si="41"/>
        <v>56452.89</v>
      </c>
      <c r="P552">
        <f t="shared" si="42"/>
        <v>56647.369999999995</v>
      </c>
      <c r="Q552">
        <f t="shared" si="43"/>
        <v>194.47999999999593</v>
      </c>
      <c r="R552">
        <f t="shared" si="44"/>
        <v>0.34331690950523552</v>
      </c>
    </row>
    <row r="553" spans="1:18" x14ac:dyDescent="0.35">
      <c r="A553">
        <v>1033</v>
      </c>
      <c r="B553" s="1">
        <v>45227</v>
      </c>
      <c r="C553" t="s">
        <v>22</v>
      </c>
      <c r="D553" t="s">
        <v>15</v>
      </c>
      <c r="E553">
        <v>1115.42</v>
      </c>
      <c r="F553">
        <v>43</v>
      </c>
      <c r="G553" t="s">
        <v>26</v>
      </c>
      <c r="H553">
        <v>4781.42</v>
      </c>
      <c r="I553">
        <v>4864.34</v>
      </c>
      <c r="J553" t="s">
        <v>17</v>
      </c>
      <c r="K553">
        <v>0.25</v>
      </c>
      <c r="L553" t="s">
        <v>25</v>
      </c>
      <c r="M553" t="s">
        <v>19</v>
      </c>
      <c r="N553" t="str">
        <f t="shared" si="40"/>
        <v>North-David</v>
      </c>
      <c r="O553">
        <f t="shared" si="41"/>
        <v>205601.06</v>
      </c>
      <c r="P553">
        <f t="shared" si="42"/>
        <v>209166.62</v>
      </c>
      <c r="Q553">
        <f t="shared" si="43"/>
        <v>3565.5599999999977</v>
      </c>
      <c r="R553">
        <f t="shared" si="44"/>
        <v>1.7046505795236342</v>
      </c>
    </row>
    <row r="554" spans="1:18" x14ac:dyDescent="0.35">
      <c r="A554">
        <v>1061</v>
      </c>
      <c r="B554" s="1">
        <v>45024</v>
      </c>
      <c r="C554" t="s">
        <v>29</v>
      </c>
      <c r="D554" t="s">
        <v>30</v>
      </c>
      <c r="E554">
        <v>3988.03</v>
      </c>
      <c r="F554">
        <v>29</v>
      </c>
      <c r="G554" t="s">
        <v>26</v>
      </c>
      <c r="H554">
        <v>1221.74</v>
      </c>
      <c r="I554">
        <v>1611.92</v>
      </c>
      <c r="J554" t="s">
        <v>27</v>
      </c>
      <c r="K554">
        <v>0.15</v>
      </c>
      <c r="L554" t="s">
        <v>18</v>
      </c>
      <c r="M554" t="s">
        <v>21</v>
      </c>
      <c r="N554" t="str">
        <f t="shared" si="40"/>
        <v>East-Charlie</v>
      </c>
      <c r="O554">
        <f t="shared" si="41"/>
        <v>35430.46</v>
      </c>
      <c r="P554">
        <f t="shared" si="42"/>
        <v>46745.68</v>
      </c>
      <c r="Q554">
        <f t="shared" si="43"/>
        <v>11315.220000000001</v>
      </c>
      <c r="R554">
        <f t="shared" si="44"/>
        <v>24.205915926348702</v>
      </c>
    </row>
    <row r="555" spans="1:18" x14ac:dyDescent="0.3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24</v>
      </c>
      <c r="H555">
        <v>4418.95</v>
      </c>
      <c r="I555">
        <v>4647.87</v>
      </c>
      <c r="J555" t="s">
        <v>27</v>
      </c>
      <c r="K555">
        <v>0.04</v>
      </c>
      <c r="L555" t="s">
        <v>25</v>
      </c>
      <c r="M555" t="s">
        <v>19</v>
      </c>
      <c r="N555" t="str">
        <f t="shared" si="40"/>
        <v>North-Bob</v>
      </c>
      <c r="O555">
        <f t="shared" si="41"/>
        <v>159082.19999999998</v>
      </c>
      <c r="P555">
        <f t="shared" si="42"/>
        <v>167323.32</v>
      </c>
      <c r="Q555">
        <f t="shared" si="43"/>
        <v>8241.1200000000244</v>
      </c>
      <c r="R555">
        <f t="shared" si="44"/>
        <v>4.9252668426612765</v>
      </c>
    </row>
    <row r="556" spans="1:18" x14ac:dyDescent="0.35">
      <c r="A556">
        <v>1043</v>
      </c>
      <c r="B556" s="1">
        <v>45219</v>
      </c>
      <c r="C556" t="s">
        <v>29</v>
      </c>
      <c r="D556" t="s">
        <v>23</v>
      </c>
      <c r="E556">
        <v>5081.01</v>
      </c>
      <c r="F556">
        <v>22</v>
      </c>
      <c r="G556" t="s">
        <v>24</v>
      </c>
      <c r="H556">
        <v>530.04</v>
      </c>
      <c r="I556">
        <v>759.31999999999903</v>
      </c>
      <c r="J556" t="s">
        <v>17</v>
      </c>
      <c r="K556">
        <v>0.17</v>
      </c>
      <c r="L556" t="s">
        <v>25</v>
      </c>
      <c r="M556" t="s">
        <v>21</v>
      </c>
      <c r="N556" t="str">
        <f t="shared" si="40"/>
        <v>South-Charlie</v>
      </c>
      <c r="O556">
        <f t="shared" si="41"/>
        <v>11660.88</v>
      </c>
      <c r="P556">
        <f t="shared" si="42"/>
        <v>16705.039999999979</v>
      </c>
      <c r="Q556">
        <f t="shared" si="43"/>
        <v>5044.1599999999798</v>
      </c>
      <c r="R556">
        <f t="shared" si="44"/>
        <v>30.195438023494624</v>
      </c>
    </row>
    <row r="557" spans="1:18" x14ac:dyDescent="0.35">
      <c r="A557">
        <v>1012</v>
      </c>
      <c r="B557" s="1">
        <v>45097</v>
      </c>
      <c r="C557" t="s">
        <v>33</v>
      </c>
      <c r="D557" t="s">
        <v>23</v>
      </c>
      <c r="E557">
        <v>2019.24</v>
      </c>
      <c r="F557">
        <v>47</v>
      </c>
      <c r="G557" t="s">
        <v>26</v>
      </c>
      <c r="H557">
        <v>325.75</v>
      </c>
      <c r="I557">
        <v>803.71</v>
      </c>
      <c r="J557" t="s">
        <v>27</v>
      </c>
      <c r="K557">
        <v>0.12</v>
      </c>
      <c r="L557" t="s">
        <v>25</v>
      </c>
      <c r="M557" t="s">
        <v>21</v>
      </c>
      <c r="N557" t="str">
        <f t="shared" si="40"/>
        <v>South-Alice</v>
      </c>
      <c r="O557">
        <f t="shared" si="41"/>
        <v>15310.25</v>
      </c>
      <c r="P557">
        <f t="shared" si="42"/>
        <v>37774.370000000003</v>
      </c>
      <c r="Q557">
        <f t="shared" si="43"/>
        <v>22464.120000000003</v>
      </c>
      <c r="R557">
        <f t="shared" si="44"/>
        <v>59.469211531522568</v>
      </c>
    </row>
    <row r="558" spans="1:18" x14ac:dyDescent="0.35">
      <c r="A558">
        <v>1067</v>
      </c>
      <c r="B558" s="1">
        <v>45109</v>
      </c>
      <c r="C558" t="s">
        <v>33</v>
      </c>
      <c r="D558" t="s">
        <v>15</v>
      </c>
      <c r="E558">
        <v>8602.2900000000009</v>
      </c>
      <c r="F558">
        <v>36</v>
      </c>
      <c r="G558" t="s">
        <v>31</v>
      </c>
      <c r="H558">
        <v>689.66</v>
      </c>
      <c r="I558">
        <v>1150.28</v>
      </c>
      <c r="J558" t="s">
        <v>27</v>
      </c>
      <c r="K558">
        <v>0.2</v>
      </c>
      <c r="L558" t="s">
        <v>25</v>
      </c>
      <c r="M558" t="s">
        <v>19</v>
      </c>
      <c r="N558" t="str">
        <f t="shared" si="40"/>
        <v>North-Alice</v>
      </c>
      <c r="O558">
        <f t="shared" si="41"/>
        <v>24827.759999999998</v>
      </c>
      <c r="P558">
        <f t="shared" si="42"/>
        <v>41410.080000000002</v>
      </c>
      <c r="Q558">
        <f t="shared" si="43"/>
        <v>16582.320000000003</v>
      </c>
      <c r="R558">
        <f t="shared" si="44"/>
        <v>40.044163160274024</v>
      </c>
    </row>
    <row r="559" spans="1:18" x14ac:dyDescent="0.35">
      <c r="A559">
        <v>1065</v>
      </c>
      <c r="B559" s="1">
        <v>45290</v>
      </c>
      <c r="C559" t="s">
        <v>22</v>
      </c>
      <c r="D559" t="s">
        <v>23</v>
      </c>
      <c r="E559">
        <v>6801.71</v>
      </c>
      <c r="F559">
        <v>9</v>
      </c>
      <c r="G559" t="s">
        <v>26</v>
      </c>
      <c r="H559">
        <v>335.82</v>
      </c>
      <c r="I559">
        <v>498.31</v>
      </c>
      <c r="J559" t="s">
        <v>27</v>
      </c>
      <c r="K559">
        <v>0.26</v>
      </c>
      <c r="L559" t="s">
        <v>18</v>
      </c>
      <c r="M559" t="s">
        <v>21</v>
      </c>
      <c r="N559" t="str">
        <f t="shared" si="40"/>
        <v>South-David</v>
      </c>
      <c r="O559">
        <f t="shared" si="41"/>
        <v>3022.38</v>
      </c>
      <c r="P559">
        <f t="shared" si="42"/>
        <v>4484.79</v>
      </c>
      <c r="Q559">
        <f t="shared" si="43"/>
        <v>1462.4099999999999</v>
      </c>
      <c r="R559">
        <f t="shared" si="44"/>
        <v>32.60821576930023</v>
      </c>
    </row>
    <row r="560" spans="1:18" x14ac:dyDescent="0.35">
      <c r="A560">
        <v>1033</v>
      </c>
      <c r="B560" s="1">
        <v>44965</v>
      </c>
      <c r="C560" t="s">
        <v>32</v>
      </c>
      <c r="D560" t="s">
        <v>15</v>
      </c>
      <c r="E560">
        <v>8395.2900000000009</v>
      </c>
      <c r="F560">
        <v>39</v>
      </c>
      <c r="G560" t="s">
        <v>31</v>
      </c>
      <c r="H560">
        <v>4232.8100000000004</v>
      </c>
      <c r="I560">
        <v>4345.25</v>
      </c>
      <c r="J560" t="s">
        <v>17</v>
      </c>
      <c r="K560">
        <v>0.12</v>
      </c>
      <c r="L560" t="s">
        <v>25</v>
      </c>
      <c r="M560" t="s">
        <v>19</v>
      </c>
      <c r="N560" t="str">
        <f t="shared" si="40"/>
        <v>North-Eve</v>
      </c>
      <c r="O560">
        <f t="shared" si="41"/>
        <v>165079.59000000003</v>
      </c>
      <c r="P560">
        <f t="shared" si="42"/>
        <v>169464.75</v>
      </c>
      <c r="Q560">
        <f t="shared" si="43"/>
        <v>4385.1599999999744</v>
      </c>
      <c r="R560">
        <f t="shared" si="44"/>
        <v>2.587653184511808</v>
      </c>
    </row>
    <row r="561" spans="1:18" x14ac:dyDescent="0.35">
      <c r="A561">
        <v>1040</v>
      </c>
      <c r="B561" s="1">
        <v>44941</v>
      </c>
      <c r="C561" t="s">
        <v>29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28</v>
      </c>
      <c r="M561" t="s">
        <v>19</v>
      </c>
      <c r="N561" t="str">
        <f t="shared" si="40"/>
        <v>North-Charlie</v>
      </c>
      <c r="O561">
        <f t="shared" si="41"/>
        <v>6503.7</v>
      </c>
      <c r="P561">
        <f t="shared" si="42"/>
        <v>14593.14</v>
      </c>
      <c r="Q561">
        <f t="shared" si="43"/>
        <v>8089.44</v>
      </c>
      <c r="R561">
        <f t="shared" si="44"/>
        <v>55.433169283649718</v>
      </c>
    </row>
    <row r="562" spans="1:18" x14ac:dyDescent="0.35">
      <c r="A562">
        <v>1074</v>
      </c>
      <c r="B562" s="1">
        <v>44930</v>
      </c>
      <c r="C562" t="s">
        <v>32</v>
      </c>
      <c r="D562" t="s">
        <v>23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25</v>
      </c>
      <c r="M562" t="s">
        <v>21</v>
      </c>
      <c r="N562" t="str">
        <f t="shared" si="40"/>
        <v>South-Eve</v>
      </c>
      <c r="O562">
        <f t="shared" si="41"/>
        <v>53000.12</v>
      </c>
      <c r="P562">
        <f t="shared" si="42"/>
        <v>70250.22</v>
      </c>
      <c r="Q562">
        <f t="shared" si="43"/>
        <v>17250.099999999999</v>
      </c>
      <c r="R562">
        <f t="shared" si="44"/>
        <v>24.555225592176079</v>
      </c>
    </row>
    <row r="563" spans="1:18" x14ac:dyDescent="0.35">
      <c r="A563">
        <v>1043</v>
      </c>
      <c r="B563" s="1">
        <v>45275</v>
      </c>
      <c r="C563" t="s">
        <v>22</v>
      </c>
      <c r="D563" t="s">
        <v>20</v>
      </c>
      <c r="E563">
        <v>4448.18</v>
      </c>
      <c r="F563">
        <v>6</v>
      </c>
      <c r="G563" t="s">
        <v>26</v>
      </c>
      <c r="H563">
        <v>563.59</v>
      </c>
      <c r="I563">
        <v>838.97</v>
      </c>
      <c r="J563" t="s">
        <v>27</v>
      </c>
      <c r="K563">
        <v>0.17</v>
      </c>
      <c r="L563" t="s">
        <v>28</v>
      </c>
      <c r="M563" t="s">
        <v>19</v>
      </c>
      <c r="N563" t="str">
        <f t="shared" si="40"/>
        <v>West-David</v>
      </c>
      <c r="O563">
        <f t="shared" si="41"/>
        <v>3381.54</v>
      </c>
      <c r="P563">
        <f t="shared" si="42"/>
        <v>5033.82</v>
      </c>
      <c r="Q563">
        <f t="shared" si="43"/>
        <v>1652.2799999999997</v>
      </c>
      <c r="R563">
        <f t="shared" si="44"/>
        <v>32.823581296113083</v>
      </c>
    </row>
    <row r="564" spans="1:18" x14ac:dyDescent="0.35">
      <c r="A564">
        <v>1044</v>
      </c>
      <c r="B564" s="1">
        <v>45136</v>
      </c>
      <c r="C564" t="s">
        <v>33</v>
      </c>
      <c r="D564" t="s">
        <v>15</v>
      </c>
      <c r="E564">
        <v>6144.41</v>
      </c>
      <c r="F564">
        <v>47</v>
      </c>
      <c r="G564" t="s">
        <v>31</v>
      </c>
      <c r="H564">
        <v>1512.34</v>
      </c>
      <c r="I564">
        <v>1830.76</v>
      </c>
      <c r="J564" t="s">
        <v>27</v>
      </c>
      <c r="K564">
        <v>0.12</v>
      </c>
      <c r="L564" t="s">
        <v>25</v>
      </c>
      <c r="M564" t="s">
        <v>19</v>
      </c>
      <c r="N564" t="str">
        <f t="shared" si="40"/>
        <v>North-Alice</v>
      </c>
      <c r="O564">
        <f t="shared" si="41"/>
        <v>71079.98</v>
      </c>
      <c r="P564">
        <f t="shared" si="42"/>
        <v>86045.72</v>
      </c>
      <c r="Q564">
        <f t="shared" si="43"/>
        <v>14965.740000000005</v>
      </c>
      <c r="R564">
        <f t="shared" si="44"/>
        <v>17.392776770303051</v>
      </c>
    </row>
    <row r="565" spans="1:18" x14ac:dyDescent="0.35">
      <c r="A565">
        <v>1029</v>
      </c>
      <c r="B565" s="1">
        <v>45087</v>
      </c>
      <c r="C565" t="s">
        <v>32</v>
      </c>
      <c r="D565" t="s">
        <v>30</v>
      </c>
      <c r="E565">
        <v>1687.62</v>
      </c>
      <c r="F565">
        <v>15</v>
      </c>
      <c r="G565" t="s">
        <v>26</v>
      </c>
      <c r="H565">
        <v>498.27</v>
      </c>
      <c r="I565">
        <v>634.16</v>
      </c>
      <c r="J565" t="s">
        <v>17</v>
      </c>
      <c r="K565">
        <v>0.11</v>
      </c>
      <c r="L565" t="s">
        <v>28</v>
      </c>
      <c r="M565" t="s">
        <v>21</v>
      </c>
      <c r="N565" t="str">
        <f t="shared" si="40"/>
        <v>East-Eve</v>
      </c>
      <c r="O565">
        <f t="shared" si="41"/>
        <v>7474.0499999999993</v>
      </c>
      <c r="P565">
        <f t="shared" si="42"/>
        <v>9512.4</v>
      </c>
      <c r="Q565">
        <f t="shared" si="43"/>
        <v>2038.3500000000004</v>
      </c>
      <c r="R565">
        <f t="shared" si="44"/>
        <v>21.428346158698126</v>
      </c>
    </row>
    <row r="566" spans="1:18" x14ac:dyDescent="0.35">
      <c r="A566">
        <v>1013</v>
      </c>
      <c r="B566" s="1">
        <v>44942</v>
      </c>
      <c r="C566" t="s">
        <v>32</v>
      </c>
      <c r="D566" t="s">
        <v>30</v>
      </c>
      <c r="E566">
        <v>6769.09</v>
      </c>
      <c r="F566">
        <v>20</v>
      </c>
      <c r="G566" t="s">
        <v>26</v>
      </c>
      <c r="H566">
        <v>3356.62</v>
      </c>
      <c r="I566">
        <v>3759.0099999999902</v>
      </c>
      <c r="J566" t="s">
        <v>17</v>
      </c>
      <c r="K566">
        <v>0.05</v>
      </c>
      <c r="L566" t="s">
        <v>28</v>
      </c>
      <c r="M566" t="s">
        <v>21</v>
      </c>
      <c r="N566" t="str">
        <f t="shared" si="40"/>
        <v>East-Eve</v>
      </c>
      <c r="O566">
        <f t="shared" si="41"/>
        <v>67132.399999999994</v>
      </c>
      <c r="P566">
        <f t="shared" si="42"/>
        <v>75180.199999999808</v>
      </c>
      <c r="Q566">
        <f t="shared" si="43"/>
        <v>8047.7999999998137</v>
      </c>
      <c r="R566">
        <f t="shared" si="44"/>
        <v>10.704680221653886</v>
      </c>
    </row>
    <row r="567" spans="1:18" x14ac:dyDescent="0.35">
      <c r="A567">
        <v>1012</v>
      </c>
      <c r="B567" s="1">
        <v>45034</v>
      </c>
      <c r="C567" t="s">
        <v>33</v>
      </c>
      <c r="D567" t="s">
        <v>23</v>
      </c>
      <c r="E567">
        <v>1874.61</v>
      </c>
      <c r="F567">
        <v>9</v>
      </c>
      <c r="G567" t="s">
        <v>31</v>
      </c>
      <c r="H567">
        <v>709.97</v>
      </c>
      <c r="I567">
        <v>1029.71</v>
      </c>
      <c r="J567" t="s">
        <v>17</v>
      </c>
      <c r="K567">
        <v>0.13</v>
      </c>
      <c r="L567" t="s">
        <v>25</v>
      </c>
      <c r="M567" t="s">
        <v>21</v>
      </c>
      <c r="N567" t="str">
        <f t="shared" si="40"/>
        <v>South-Alice</v>
      </c>
      <c r="O567">
        <f t="shared" si="41"/>
        <v>6389.7300000000005</v>
      </c>
      <c r="P567">
        <f t="shared" si="42"/>
        <v>9267.39</v>
      </c>
      <c r="Q567">
        <f t="shared" si="43"/>
        <v>2877.6599999999989</v>
      </c>
      <c r="R567">
        <f t="shared" si="44"/>
        <v>31.05146109098677</v>
      </c>
    </row>
    <row r="568" spans="1:18" x14ac:dyDescent="0.35">
      <c r="A568">
        <v>1095</v>
      </c>
      <c r="B568" s="1">
        <v>45237</v>
      </c>
      <c r="C568" t="s">
        <v>29</v>
      </c>
      <c r="D568" t="s">
        <v>20</v>
      </c>
      <c r="E568">
        <v>6970.1</v>
      </c>
      <c r="F568">
        <v>32</v>
      </c>
      <c r="G568" t="s">
        <v>26</v>
      </c>
      <c r="H568">
        <v>4266.6400000000003</v>
      </c>
      <c r="I568">
        <v>4523.3599999999997</v>
      </c>
      <c r="J568" t="s">
        <v>27</v>
      </c>
      <c r="K568">
        <v>0.3</v>
      </c>
      <c r="L568" t="s">
        <v>25</v>
      </c>
      <c r="M568" t="s">
        <v>21</v>
      </c>
      <c r="N568" t="str">
        <f t="shared" si="40"/>
        <v>West-Charlie</v>
      </c>
      <c r="O568">
        <f t="shared" si="41"/>
        <v>136532.48000000001</v>
      </c>
      <c r="P568">
        <f t="shared" si="42"/>
        <v>144747.51999999999</v>
      </c>
      <c r="Q568">
        <f t="shared" si="43"/>
        <v>8215.039999999979</v>
      </c>
      <c r="R568">
        <f t="shared" si="44"/>
        <v>5.675427116126051</v>
      </c>
    </row>
    <row r="569" spans="1:18" x14ac:dyDescent="0.35">
      <c r="A569">
        <v>1046</v>
      </c>
      <c r="B569" s="1">
        <v>45153</v>
      </c>
      <c r="C569" t="s">
        <v>33</v>
      </c>
      <c r="D569" t="s">
        <v>23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25</v>
      </c>
      <c r="M569" t="s">
        <v>21</v>
      </c>
      <c r="N569" t="str">
        <f t="shared" si="40"/>
        <v>South-Alice</v>
      </c>
      <c r="O569">
        <f t="shared" si="41"/>
        <v>16380.4</v>
      </c>
      <c r="P569">
        <f t="shared" si="42"/>
        <v>16538.2</v>
      </c>
      <c r="Q569">
        <f t="shared" si="43"/>
        <v>157.80000000000109</v>
      </c>
      <c r="R569">
        <f t="shared" si="44"/>
        <v>0.95415462384056959</v>
      </c>
    </row>
    <row r="570" spans="1:18" x14ac:dyDescent="0.35">
      <c r="A570">
        <v>1002</v>
      </c>
      <c r="B570" s="1">
        <v>45096</v>
      </c>
      <c r="C570" t="s">
        <v>32</v>
      </c>
      <c r="D570" t="s">
        <v>20</v>
      </c>
      <c r="E570">
        <v>1263.76</v>
      </c>
      <c r="F570">
        <v>18</v>
      </c>
      <c r="G570" t="s">
        <v>24</v>
      </c>
      <c r="H570">
        <v>117.63</v>
      </c>
      <c r="I570">
        <v>576.44000000000005</v>
      </c>
      <c r="J570" t="s">
        <v>27</v>
      </c>
      <c r="K570">
        <v>0.18</v>
      </c>
      <c r="L570" t="s">
        <v>28</v>
      </c>
      <c r="M570" t="s">
        <v>21</v>
      </c>
      <c r="N570" t="str">
        <f t="shared" si="40"/>
        <v>West-Eve</v>
      </c>
      <c r="O570">
        <f t="shared" si="41"/>
        <v>2117.34</v>
      </c>
      <c r="P570">
        <f t="shared" si="42"/>
        <v>10375.920000000002</v>
      </c>
      <c r="Q570">
        <f t="shared" si="43"/>
        <v>8258.5800000000017</v>
      </c>
      <c r="R570">
        <f t="shared" si="44"/>
        <v>79.593713135799049</v>
      </c>
    </row>
    <row r="571" spans="1:18" x14ac:dyDescent="0.35">
      <c r="A571">
        <v>1035</v>
      </c>
      <c r="B571" s="1">
        <v>44960</v>
      </c>
      <c r="C571" t="s">
        <v>29</v>
      </c>
      <c r="D571" t="s">
        <v>15</v>
      </c>
      <c r="E571">
        <v>1736.32</v>
      </c>
      <c r="F571">
        <v>5</v>
      </c>
      <c r="G571" t="s">
        <v>24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tr">
        <f t="shared" si="40"/>
        <v>North-Charlie</v>
      </c>
      <c r="O571">
        <f t="shared" si="41"/>
        <v>22419.25</v>
      </c>
      <c r="P571">
        <f t="shared" si="42"/>
        <v>23977.1</v>
      </c>
      <c r="Q571">
        <f t="shared" si="43"/>
        <v>1557.8499999999985</v>
      </c>
      <c r="R571">
        <f t="shared" si="44"/>
        <v>6.4972411175663396</v>
      </c>
    </row>
    <row r="572" spans="1:18" x14ac:dyDescent="0.35">
      <c r="A572">
        <v>1087</v>
      </c>
      <c r="B572" s="1">
        <v>45177</v>
      </c>
      <c r="C572" t="s">
        <v>29</v>
      </c>
      <c r="D572" t="s">
        <v>15</v>
      </c>
      <c r="E572">
        <v>119.72</v>
      </c>
      <c r="F572">
        <v>20</v>
      </c>
      <c r="G572" t="s">
        <v>26</v>
      </c>
      <c r="H572">
        <v>193.27</v>
      </c>
      <c r="I572">
        <v>297.69</v>
      </c>
      <c r="J572" t="s">
        <v>27</v>
      </c>
      <c r="K572">
        <v>0.22</v>
      </c>
      <c r="L572" t="s">
        <v>18</v>
      </c>
      <c r="M572" t="s">
        <v>19</v>
      </c>
      <c r="N572" t="str">
        <f t="shared" si="40"/>
        <v>North-Charlie</v>
      </c>
      <c r="O572">
        <f t="shared" si="41"/>
        <v>3865.4</v>
      </c>
      <c r="P572">
        <f t="shared" si="42"/>
        <v>5953.8</v>
      </c>
      <c r="Q572">
        <f t="shared" si="43"/>
        <v>2088.4</v>
      </c>
      <c r="R572">
        <f t="shared" si="44"/>
        <v>35.076757700964087</v>
      </c>
    </row>
    <row r="573" spans="1:18" x14ac:dyDescent="0.35">
      <c r="A573">
        <v>1081</v>
      </c>
      <c r="B573" s="1">
        <v>45173</v>
      </c>
      <c r="C573" t="s">
        <v>33</v>
      </c>
      <c r="D573" t="s">
        <v>15</v>
      </c>
      <c r="E573">
        <v>7215.52</v>
      </c>
      <c r="F573">
        <v>23</v>
      </c>
      <c r="G573" t="s">
        <v>31</v>
      </c>
      <c r="H573">
        <v>1236.25</v>
      </c>
      <c r="I573">
        <v>1543.38</v>
      </c>
      <c r="J573" t="s">
        <v>27</v>
      </c>
      <c r="K573">
        <v>0.1</v>
      </c>
      <c r="L573" t="s">
        <v>25</v>
      </c>
      <c r="M573" t="s">
        <v>19</v>
      </c>
      <c r="N573" t="str">
        <f t="shared" si="40"/>
        <v>North-Alice</v>
      </c>
      <c r="O573">
        <f t="shared" si="41"/>
        <v>28433.75</v>
      </c>
      <c r="P573">
        <f t="shared" si="42"/>
        <v>35497.740000000005</v>
      </c>
      <c r="Q573">
        <f t="shared" si="43"/>
        <v>7063.9900000000052</v>
      </c>
      <c r="R573">
        <f t="shared" si="44"/>
        <v>19.899830242714057</v>
      </c>
    </row>
    <row r="574" spans="1:18" x14ac:dyDescent="0.35">
      <c r="A574">
        <v>1090</v>
      </c>
      <c r="B574" s="1">
        <v>45195</v>
      </c>
      <c r="C574" t="s">
        <v>32</v>
      </c>
      <c r="D574" t="s">
        <v>15</v>
      </c>
      <c r="E574">
        <v>7350.77</v>
      </c>
      <c r="F574">
        <v>11</v>
      </c>
      <c r="G574" t="s">
        <v>31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21</v>
      </c>
      <c r="N574" t="str">
        <f t="shared" si="40"/>
        <v>North-Eve</v>
      </c>
      <c r="O574">
        <f t="shared" si="41"/>
        <v>2313.63</v>
      </c>
      <c r="P574">
        <f t="shared" si="42"/>
        <v>6075.19</v>
      </c>
      <c r="Q574">
        <f t="shared" si="43"/>
        <v>3761.5599999999995</v>
      </c>
      <c r="R574">
        <f t="shared" si="44"/>
        <v>61.9167466367307</v>
      </c>
    </row>
    <row r="575" spans="1:18" x14ac:dyDescent="0.35">
      <c r="A575">
        <v>1008</v>
      </c>
      <c r="B575" s="1">
        <v>45067</v>
      </c>
      <c r="C575" t="s">
        <v>22</v>
      </c>
      <c r="D575" t="s">
        <v>30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27</v>
      </c>
      <c r="K575">
        <v>0.26</v>
      </c>
      <c r="L575" t="s">
        <v>18</v>
      </c>
      <c r="M575" t="s">
        <v>19</v>
      </c>
      <c r="N575" t="str">
        <f t="shared" si="40"/>
        <v>East-David</v>
      </c>
      <c r="O575">
        <f t="shared" si="41"/>
        <v>63359.91</v>
      </c>
      <c r="P575">
        <f t="shared" si="42"/>
        <v>73262.22</v>
      </c>
      <c r="Q575">
        <f t="shared" si="43"/>
        <v>9902.3099999999977</v>
      </c>
      <c r="R575">
        <f t="shared" si="44"/>
        <v>13.51625708311869</v>
      </c>
    </row>
    <row r="576" spans="1:18" x14ac:dyDescent="0.35">
      <c r="A576">
        <v>1093</v>
      </c>
      <c r="B576" s="1">
        <v>45200</v>
      </c>
      <c r="C576" t="s">
        <v>32</v>
      </c>
      <c r="D576" t="s">
        <v>30</v>
      </c>
      <c r="E576">
        <v>1697.49</v>
      </c>
      <c r="F576">
        <v>22</v>
      </c>
      <c r="G576" t="s">
        <v>31</v>
      </c>
      <c r="H576">
        <v>2593.64</v>
      </c>
      <c r="I576">
        <v>2955.5099999999902</v>
      </c>
      <c r="J576" t="s">
        <v>17</v>
      </c>
      <c r="K576">
        <v>0</v>
      </c>
      <c r="L576" t="s">
        <v>25</v>
      </c>
      <c r="M576" t="s">
        <v>21</v>
      </c>
      <c r="N576" t="str">
        <f t="shared" si="40"/>
        <v>East-Eve</v>
      </c>
      <c r="O576">
        <f t="shared" si="41"/>
        <v>57060.079999999994</v>
      </c>
      <c r="P576">
        <f t="shared" si="42"/>
        <v>65021.219999999783</v>
      </c>
      <c r="Q576">
        <f t="shared" si="43"/>
        <v>7961.1399999997884</v>
      </c>
      <c r="R576">
        <f t="shared" si="44"/>
        <v>12.24391052644016</v>
      </c>
    </row>
    <row r="577" spans="1:18" x14ac:dyDescent="0.35">
      <c r="A577">
        <v>1026</v>
      </c>
      <c r="B577" s="1">
        <v>45022</v>
      </c>
      <c r="C577" t="s">
        <v>14</v>
      </c>
      <c r="D577" t="s">
        <v>23</v>
      </c>
      <c r="E577">
        <v>927.19</v>
      </c>
      <c r="F577">
        <v>4</v>
      </c>
      <c r="G577" t="s">
        <v>31</v>
      </c>
      <c r="H577">
        <v>3993.39</v>
      </c>
      <c r="I577">
        <v>4288.3</v>
      </c>
      <c r="J577" t="s">
        <v>27</v>
      </c>
      <c r="K577">
        <v>0.13</v>
      </c>
      <c r="L577" t="s">
        <v>28</v>
      </c>
      <c r="M577" t="s">
        <v>19</v>
      </c>
      <c r="N577" t="str">
        <f t="shared" si="40"/>
        <v>South-Bob</v>
      </c>
      <c r="O577">
        <f t="shared" si="41"/>
        <v>15973.56</v>
      </c>
      <c r="P577">
        <f t="shared" si="42"/>
        <v>17153.2</v>
      </c>
      <c r="Q577">
        <f t="shared" si="43"/>
        <v>1179.6400000000012</v>
      </c>
      <c r="R577">
        <f t="shared" si="44"/>
        <v>6.8770841592239425</v>
      </c>
    </row>
    <row r="578" spans="1:18" x14ac:dyDescent="0.35">
      <c r="A578">
        <v>1074</v>
      </c>
      <c r="B578" s="1">
        <v>45153</v>
      </c>
      <c r="C578" t="s">
        <v>22</v>
      </c>
      <c r="D578" t="s">
        <v>20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27</v>
      </c>
      <c r="K578">
        <v>7.0000000000000007E-2</v>
      </c>
      <c r="L578" t="s">
        <v>25</v>
      </c>
      <c r="M578" t="s">
        <v>21</v>
      </c>
      <c r="N578" t="str">
        <f t="shared" si="40"/>
        <v>West-David</v>
      </c>
      <c r="O578">
        <f t="shared" si="41"/>
        <v>49967.29</v>
      </c>
      <c r="P578">
        <f t="shared" si="42"/>
        <v>63725.18</v>
      </c>
      <c r="Q578">
        <f t="shared" si="43"/>
        <v>13757.89</v>
      </c>
      <c r="R578">
        <f t="shared" si="44"/>
        <v>21.589409398294361</v>
      </c>
    </row>
    <row r="579" spans="1:18" x14ac:dyDescent="0.35">
      <c r="A579">
        <v>1090</v>
      </c>
      <c r="B579" s="1">
        <v>44965</v>
      </c>
      <c r="C579" t="s">
        <v>29</v>
      </c>
      <c r="D579" t="s">
        <v>15</v>
      </c>
      <c r="E579">
        <v>1740.91</v>
      </c>
      <c r="F579">
        <v>44</v>
      </c>
      <c r="G579" t="s">
        <v>26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tr">
        <f t="shared" ref="N579:N642" si="45">D579 &amp; "-" &amp; C579</f>
        <v>North-Charlie</v>
      </c>
      <c r="O579">
        <f t="shared" ref="O579:O642" si="46">F579*H579</f>
        <v>155855.91999999998</v>
      </c>
      <c r="P579">
        <f t="shared" ref="P579:P642" si="47">F579*I579</f>
        <v>157453.56</v>
      </c>
      <c r="Q579">
        <f t="shared" ref="Q579:Q642" si="48">P579-O579</f>
        <v>1597.640000000014</v>
      </c>
      <c r="R579">
        <f t="shared" ref="R579:R642" si="49">(Q579/P579)*100</f>
        <v>1.0146737869883755</v>
      </c>
    </row>
    <row r="580" spans="1:18" x14ac:dyDescent="0.35">
      <c r="A580">
        <v>1034</v>
      </c>
      <c r="B580" s="1">
        <v>45228</v>
      </c>
      <c r="C580" t="s">
        <v>22</v>
      </c>
      <c r="D580" t="s">
        <v>15</v>
      </c>
      <c r="E580">
        <v>8919.4699999999993</v>
      </c>
      <c r="F580">
        <v>34</v>
      </c>
      <c r="G580" t="s">
        <v>24</v>
      </c>
      <c r="H580">
        <v>978.15</v>
      </c>
      <c r="I580">
        <v>1040.21</v>
      </c>
      <c r="J580" t="s">
        <v>27</v>
      </c>
      <c r="K580">
        <v>0.12</v>
      </c>
      <c r="L580" t="s">
        <v>28</v>
      </c>
      <c r="M580" t="s">
        <v>21</v>
      </c>
      <c r="N580" t="str">
        <f t="shared" si="45"/>
        <v>North-David</v>
      </c>
      <c r="O580">
        <f t="shared" si="46"/>
        <v>33257.1</v>
      </c>
      <c r="P580">
        <f t="shared" si="47"/>
        <v>35367.14</v>
      </c>
      <c r="Q580">
        <f t="shared" si="48"/>
        <v>2110.0400000000009</v>
      </c>
      <c r="R580">
        <f t="shared" si="49"/>
        <v>5.9661029984330112</v>
      </c>
    </row>
    <row r="581" spans="1:18" x14ac:dyDescent="0.35">
      <c r="A581">
        <v>1007</v>
      </c>
      <c r="B581" s="1">
        <v>44955</v>
      </c>
      <c r="C581" t="s">
        <v>29</v>
      </c>
      <c r="D581" t="s">
        <v>20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21</v>
      </c>
      <c r="N581" t="str">
        <f t="shared" si="45"/>
        <v>West-Charlie</v>
      </c>
      <c r="O581">
        <f t="shared" si="46"/>
        <v>48950.98</v>
      </c>
      <c r="P581">
        <f t="shared" si="47"/>
        <v>50187.28</v>
      </c>
      <c r="Q581">
        <f t="shared" si="48"/>
        <v>1236.2999999999956</v>
      </c>
      <c r="R581">
        <f t="shared" si="49"/>
        <v>2.4633731893818429</v>
      </c>
    </row>
    <row r="582" spans="1:18" x14ac:dyDescent="0.35">
      <c r="A582">
        <v>1068</v>
      </c>
      <c r="B582" s="1">
        <v>45244</v>
      </c>
      <c r="C582" t="s">
        <v>29</v>
      </c>
      <c r="D582" t="s">
        <v>20</v>
      </c>
      <c r="E582">
        <v>3607.29</v>
      </c>
      <c r="F582">
        <v>42</v>
      </c>
      <c r="G582" t="s">
        <v>26</v>
      </c>
      <c r="H582">
        <v>1218.18</v>
      </c>
      <c r="I582">
        <v>1566.36</v>
      </c>
      <c r="J582" t="s">
        <v>17</v>
      </c>
      <c r="K582">
        <v>0.03</v>
      </c>
      <c r="L582" t="s">
        <v>28</v>
      </c>
      <c r="M582" t="s">
        <v>21</v>
      </c>
      <c r="N582" t="str">
        <f t="shared" si="45"/>
        <v>West-Charlie</v>
      </c>
      <c r="O582">
        <f t="shared" si="46"/>
        <v>51163.560000000005</v>
      </c>
      <c r="P582">
        <f t="shared" si="47"/>
        <v>65787.12</v>
      </c>
      <c r="Q582">
        <f t="shared" si="48"/>
        <v>14623.55999999999</v>
      </c>
      <c r="R582">
        <f t="shared" si="49"/>
        <v>22.228606450624362</v>
      </c>
    </row>
    <row r="583" spans="1:18" x14ac:dyDescent="0.35">
      <c r="A583">
        <v>1058</v>
      </c>
      <c r="B583" s="1">
        <v>45171</v>
      </c>
      <c r="C583" t="s">
        <v>22</v>
      </c>
      <c r="D583" t="s">
        <v>23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21</v>
      </c>
      <c r="N583" t="str">
        <f t="shared" si="45"/>
        <v>South-David</v>
      </c>
      <c r="O583">
        <f t="shared" si="46"/>
        <v>6844.95</v>
      </c>
      <c r="P583">
        <f t="shared" si="47"/>
        <v>9782.0099999999111</v>
      </c>
      <c r="Q583">
        <f t="shared" si="48"/>
        <v>2937.0599999999113</v>
      </c>
      <c r="R583">
        <f t="shared" si="49"/>
        <v>30.025117537192642</v>
      </c>
    </row>
    <row r="584" spans="1:18" x14ac:dyDescent="0.35">
      <c r="A584">
        <v>1075</v>
      </c>
      <c r="B584" s="1">
        <v>45162</v>
      </c>
      <c r="C584" t="s">
        <v>29</v>
      </c>
      <c r="D584" t="s">
        <v>20</v>
      </c>
      <c r="E584">
        <v>2301.38</v>
      </c>
      <c r="F584">
        <v>42</v>
      </c>
      <c r="G584" t="s">
        <v>26</v>
      </c>
      <c r="H584">
        <v>967.77</v>
      </c>
      <c r="I584">
        <v>1414.88</v>
      </c>
      <c r="J584" t="s">
        <v>27</v>
      </c>
      <c r="K584">
        <v>0.17</v>
      </c>
      <c r="L584" t="s">
        <v>25</v>
      </c>
      <c r="M584" t="s">
        <v>19</v>
      </c>
      <c r="N584" t="str">
        <f t="shared" si="45"/>
        <v>West-Charlie</v>
      </c>
      <c r="O584">
        <f t="shared" si="46"/>
        <v>40646.339999999997</v>
      </c>
      <c r="P584">
        <f t="shared" si="47"/>
        <v>59424.960000000006</v>
      </c>
      <c r="Q584">
        <f t="shared" si="48"/>
        <v>18778.62000000001</v>
      </c>
      <c r="R584">
        <f t="shared" si="49"/>
        <v>31.600559764785718</v>
      </c>
    </row>
    <row r="585" spans="1:18" x14ac:dyDescent="0.35">
      <c r="A585">
        <v>1029</v>
      </c>
      <c r="B585" s="1">
        <v>45111</v>
      </c>
      <c r="C585" t="s">
        <v>29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27</v>
      </c>
      <c r="K585">
        <v>0.15</v>
      </c>
      <c r="L585" t="s">
        <v>18</v>
      </c>
      <c r="M585" t="s">
        <v>19</v>
      </c>
      <c r="N585" t="str">
        <f t="shared" si="45"/>
        <v>North-Charlie</v>
      </c>
      <c r="O585">
        <f t="shared" si="46"/>
        <v>29487.510000000002</v>
      </c>
      <c r="P585">
        <f t="shared" si="47"/>
        <v>40929.919999999998</v>
      </c>
      <c r="Q585">
        <f t="shared" si="48"/>
        <v>11442.409999999996</v>
      </c>
      <c r="R585">
        <f t="shared" si="49"/>
        <v>27.956101551139113</v>
      </c>
    </row>
    <row r="586" spans="1:18" x14ac:dyDescent="0.3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26</v>
      </c>
      <c r="H586">
        <v>2588.67</v>
      </c>
      <c r="I586">
        <v>2847.76</v>
      </c>
      <c r="J586" t="s">
        <v>27</v>
      </c>
      <c r="K586">
        <v>0.22</v>
      </c>
      <c r="L586" t="s">
        <v>18</v>
      </c>
      <c r="M586" t="s">
        <v>21</v>
      </c>
      <c r="N586" t="str">
        <f t="shared" si="45"/>
        <v>North-Bob</v>
      </c>
      <c r="O586">
        <f t="shared" si="46"/>
        <v>18120.690000000002</v>
      </c>
      <c r="P586">
        <f t="shared" si="47"/>
        <v>19934.32</v>
      </c>
      <c r="Q586">
        <f t="shared" si="48"/>
        <v>1813.6299999999974</v>
      </c>
      <c r="R586">
        <f t="shared" si="49"/>
        <v>9.098027923701423</v>
      </c>
    </row>
    <row r="587" spans="1:18" x14ac:dyDescent="0.35">
      <c r="A587">
        <v>1089</v>
      </c>
      <c r="B587" s="1">
        <v>45162</v>
      </c>
      <c r="C587" t="s">
        <v>32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28</v>
      </c>
      <c r="M587" t="s">
        <v>21</v>
      </c>
      <c r="N587" t="str">
        <f t="shared" si="45"/>
        <v>North-Eve</v>
      </c>
      <c r="O587">
        <f t="shared" si="46"/>
        <v>16927</v>
      </c>
      <c r="P587">
        <f t="shared" si="47"/>
        <v>18911</v>
      </c>
      <c r="Q587">
        <f t="shared" si="48"/>
        <v>1984</v>
      </c>
      <c r="R587">
        <f t="shared" si="49"/>
        <v>10.491248479720799</v>
      </c>
    </row>
    <row r="588" spans="1:18" x14ac:dyDescent="0.35">
      <c r="A588">
        <v>1021</v>
      </c>
      <c r="B588" s="1">
        <v>45165</v>
      </c>
      <c r="C588" t="s">
        <v>32</v>
      </c>
      <c r="D588" t="s">
        <v>15</v>
      </c>
      <c r="E588">
        <v>671.55</v>
      </c>
      <c r="F588">
        <v>19</v>
      </c>
      <c r="G588" t="s">
        <v>26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21</v>
      </c>
      <c r="N588" t="str">
        <f t="shared" si="45"/>
        <v>North-Eve</v>
      </c>
      <c r="O588">
        <f t="shared" si="46"/>
        <v>8436.9500000000007</v>
      </c>
      <c r="P588">
        <f t="shared" si="47"/>
        <v>11104.36</v>
      </c>
      <c r="Q588">
        <f t="shared" si="48"/>
        <v>2667.41</v>
      </c>
      <c r="R588">
        <f t="shared" si="49"/>
        <v>24.021285332968308</v>
      </c>
    </row>
    <row r="589" spans="1:18" x14ac:dyDescent="0.3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27</v>
      </c>
      <c r="K589">
        <v>0.14000000000000001</v>
      </c>
      <c r="L589" t="s">
        <v>25</v>
      </c>
      <c r="M589" t="s">
        <v>19</v>
      </c>
      <c r="N589" t="str">
        <f t="shared" si="45"/>
        <v>North-Bob</v>
      </c>
      <c r="O589">
        <f t="shared" si="46"/>
        <v>149076.06</v>
      </c>
      <c r="P589">
        <f t="shared" si="47"/>
        <v>166642.97999999957</v>
      </c>
      <c r="Q589">
        <f t="shared" si="48"/>
        <v>17566.919999999576</v>
      </c>
      <c r="R589">
        <f t="shared" si="49"/>
        <v>10.541650179323259</v>
      </c>
    </row>
    <row r="590" spans="1:18" x14ac:dyDescent="0.35">
      <c r="A590">
        <v>1010</v>
      </c>
      <c r="B590" s="1">
        <v>45285</v>
      </c>
      <c r="C590" t="s">
        <v>22</v>
      </c>
      <c r="D590" t="s">
        <v>23</v>
      </c>
      <c r="E590">
        <v>2418.61</v>
      </c>
      <c r="F590">
        <v>30</v>
      </c>
      <c r="G590" t="s">
        <v>24</v>
      </c>
      <c r="H590">
        <v>3289.01</v>
      </c>
      <c r="I590">
        <v>3508.14</v>
      </c>
      <c r="J590" t="s">
        <v>27</v>
      </c>
      <c r="K590">
        <v>0.17</v>
      </c>
      <c r="L590" t="s">
        <v>25</v>
      </c>
      <c r="M590" t="s">
        <v>21</v>
      </c>
      <c r="N590" t="str">
        <f t="shared" si="45"/>
        <v>South-David</v>
      </c>
      <c r="O590">
        <f t="shared" si="46"/>
        <v>98670.3</v>
      </c>
      <c r="P590">
        <f t="shared" si="47"/>
        <v>105244.2</v>
      </c>
      <c r="Q590">
        <f t="shared" si="48"/>
        <v>6573.8999999999942</v>
      </c>
      <c r="R590">
        <f t="shared" si="49"/>
        <v>6.2463299640265157</v>
      </c>
    </row>
    <row r="591" spans="1:18" x14ac:dyDescent="0.35">
      <c r="A591">
        <v>1073</v>
      </c>
      <c r="B591" s="1">
        <v>45266</v>
      </c>
      <c r="C591" t="s">
        <v>33</v>
      </c>
      <c r="D591" t="s">
        <v>15</v>
      </c>
      <c r="E591">
        <v>2273.58</v>
      </c>
      <c r="F591">
        <v>31</v>
      </c>
      <c r="G591" t="s">
        <v>24</v>
      </c>
      <c r="H591">
        <v>4368.97</v>
      </c>
      <c r="I591">
        <v>4696.8500000000004</v>
      </c>
      <c r="J591" t="s">
        <v>17</v>
      </c>
      <c r="K591">
        <v>0.25</v>
      </c>
      <c r="L591" t="s">
        <v>25</v>
      </c>
      <c r="M591" t="s">
        <v>21</v>
      </c>
      <c r="N591" t="str">
        <f t="shared" si="45"/>
        <v>North-Alice</v>
      </c>
      <c r="O591">
        <f t="shared" si="46"/>
        <v>135438.07</v>
      </c>
      <c r="P591">
        <f t="shared" si="47"/>
        <v>145602.35</v>
      </c>
      <c r="Q591">
        <f t="shared" si="48"/>
        <v>10164.279999999999</v>
      </c>
      <c r="R591">
        <f t="shared" si="49"/>
        <v>6.9808488667937016</v>
      </c>
    </row>
    <row r="592" spans="1:18" x14ac:dyDescent="0.35">
      <c r="A592">
        <v>1024</v>
      </c>
      <c r="B592" s="1">
        <v>44991</v>
      </c>
      <c r="C592" t="s">
        <v>33</v>
      </c>
      <c r="D592" t="s">
        <v>23</v>
      </c>
      <c r="E592">
        <v>9602.64</v>
      </c>
      <c r="F592">
        <v>35</v>
      </c>
      <c r="G592" t="s">
        <v>31</v>
      </c>
      <c r="H592">
        <v>1258.53</v>
      </c>
      <c r="I592">
        <v>1624.8899999999901</v>
      </c>
      <c r="J592" t="s">
        <v>27</v>
      </c>
      <c r="K592">
        <v>0.08</v>
      </c>
      <c r="L592" t="s">
        <v>28</v>
      </c>
      <c r="M592" t="s">
        <v>19</v>
      </c>
      <c r="N592" t="str">
        <f t="shared" si="45"/>
        <v>South-Alice</v>
      </c>
      <c r="O592">
        <f t="shared" si="46"/>
        <v>44048.549999999996</v>
      </c>
      <c r="P592">
        <f t="shared" si="47"/>
        <v>56871.149999999652</v>
      </c>
      <c r="Q592">
        <f t="shared" si="48"/>
        <v>12822.599999999657</v>
      </c>
      <c r="R592">
        <f t="shared" si="49"/>
        <v>22.546757011243372</v>
      </c>
    </row>
    <row r="593" spans="1:18" x14ac:dyDescent="0.35">
      <c r="A593">
        <v>1064</v>
      </c>
      <c r="B593" s="1">
        <v>45103</v>
      </c>
      <c r="C593" t="s">
        <v>33</v>
      </c>
      <c r="D593" t="s">
        <v>15</v>
      </c>
      <c r="E593">
        <v>6201.37</v>
      </c>
      <c r="F593">
        <v>21</v>
      </c>
      <c r="G593" t="s">
        <v>26</v>
      </c>
      <c r="H593">
        <v>2278.04</v>
      </c>
      <c r="I593">
        <v>2598.58</v>
      </c>
      <c r="J593" t="s">
        <v>17</v>
      </c>
      <c r="K593">
        <v>0.02</v>
      </c>
      <c r="L593" t="s">
        <v>28</v>
      </c>
      <c r="M593" t="s">
        <v>21</v>
      </c>
      <c r="N593" t="str">
        <f t="shared" si="45"/>
        <v>North-Alice</v>
      </c>
      <c r="O593">
        <f t="shared" si="46"/>
        <v>47838.84</v>
      </c>
      <c r="P593">
        <f t="shared" si="47"/>
        <v>54570.18</v>
      </c>
      <c r="Q593">
        <f t="shared" si="48"/>
        <v>6731.3400000000038</v>
      </c>
      <c r="R593">
        <f t="shared" si="49"/>
        <v>12.335198454540564</v>
      </c>
    </row>
    <row r="594" spans="1:18" x14ac:dyDescent="0.35">
      <c r="A594">
        <v>1099</v>
      </c>
      <c r="B594" s="1">
        <v>44929</v>
      </c>
      <c r="C594" t="s">
        <v>14</v>
      </c>
      <c r="D594" t="s">
        <v>30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27</v>
      </c>
      <c r="K594">
        <v>0.21</v>
      </c>
      <c r="L594" t="s">
        <v>18</v>
      </c>
      <c r="M594" t="s">
        <v>21</v>
      </c>
      <c r="N594" t="str">
        <f t="shared" si="45"/>
        <v>East-Bob</v>
      </c>
      <c r="O594">
        <f t="shared" si="46"/>
        <v>143618.35</v>
      </c>
      <c r="P594">
        <f t="shared" si="47"/>
        <v>146062.69999999998</v>
      </c>
      <c r="Q594">
        <f t="shared" si="48"/>
        <v>2444.3499999999767</v>
      </c>
      <c r="R594">
        <f t="shared" si="49"/>
        <v>1.6734936434832279</v>
      </c>
    </row>
    <row r="595" spans="1:18" x14ac:dyDescent="0.35">
      <c r="A595">
        <v>1049</v>
      </c>
      <c r="B595" s="1">
        <v>45068</v>
      </c>
      <c r="C595" t="s">
        <v>14</v>
      </c>
      <c r="D595" t="s">
        <v>30</v>
      </c>
      <c r="E595">
        <v>4216.17</v>
      </c>
      <c r="F595">
        <v>19</v>
      </c>
      <c r="G595" t="s">
        <v>26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tr">
        <f t="shared" si="45"/>
        <v>East-Bob</v>
      </c>
      <c r="O595">
        <f t="shared" si="46"/>
        <v>63022.429999999993</v>
      </c>
      <c r="P595">
        <f t="shared" si="47"/>
        <v>67336.38</v>
      </c>
      <c r="Q595">
        <f t="shared" si="48"/>
        <v>4313.9500000000116</v>
      </c>
      <c r="R595">
        <f t="shared" si="49"/>
        <v>6.4065665543648347</v>
      </c>
    </row>
    <row r="596" spans="1:18" x14ac:dyDescent="0.35">
      <c r="A596">
        <v>1099</v>
      </c>
      <c r="B596" s="1">
        <v>45084</v>
      </c>
      <c r="C596" t="s">
        <v>29</v>
      </c>
      <c r="D596" t="s">
        <v>30</v>
      </c>
      <c r="E596">
        <v>4346.55</v>
      </c>
      <c r="F596">
        <v>31</v>
      </c>
      <c r="G596" t="s">
        <v>24</v>
      </c>
      <c r="H596">
        <v>1974.4</v>
      </c>
      <c r="I596">
        <v>2259.5</v>
      </c>
      <c r="J596" t="s">
        <v>27</v>
      </c>
      <c r="K596">
        <v>0.27</v>
      </c>
      <c r="L596" t="s">
        <v>18</v>
      </c>
      <c r="M596" t="s">
        <v>21</v>
      </c>
      <c r="N596" t="str">
        <f t="shared" si="45"/>
        <v>East-Charlie</v>
      </c>
      <c r="O596">
        <f t="shared" si="46"/>
        <v>61206.400000000001</v>
      </c>
      <c r="P596">
        <f t="shared" si="47"/>
        <v>70044.5</v>
      </c>
      <c r="Q596">
        <f t="shared" si="48"/>
        <v>8838.0999999999985</v>
      </c>
      <c r="R596">
        <f t="shared" si="49"/>
        <v>12.617835804381498</v>
      </c>
    </row>
    <row r="597" spans="1:18" x14ac:dyDescent="0.35">
      <c r="A597">
        <v>1036</v>
      </c>
      <c r="B597" s="1">
        <v>45250</v>
      </c>
      <c r="C597" t="s">
        <v>33</v>
      </c>
      <c r="D597" t="s">
        <v>30</v>
      </c>
      <c r="E597">
        <v>5454.96</v>
      </c>
      <c r="F597">
        <v>32</v>
      </c>
      <c r="G597" t="s">
        <v>26</v>
      </c>
      <c r="H597">
        <v>700.49</v>
      </c>
      <c r="I597">
        <v>1126.52</v>
      </c>
      <c r="J597" t="s">
        <v>27</v>
      </c>
      <c r="K597">
        <v>0.28999999999999998</v>
      </c>
      <c r="L597" t="s">
        <v>28</v>
      </c>
      <c r="M597" t="s">
        <v>21</v>
      </c>
      <c r="N597" t="str">
        <f t="shared" si="45"/>
        <v>East-Alice</v>
      </c>
      <c r="O597">
        <f t="shared" si="46"/>
        <v>22415.68</v>
      </c>
      <c r="P597">
        <f t="shared" si="47"/>
        <v>36048.639999999999</v>
      </c>
      <c r="Q597">
        <f t="shared" si="48"/>
        <v>13632.96</v>
      </c>
      <c r="R597">
        <f t="shared" si="49"/>
        <v>37.818236693534068</v>
      </c>
    </row>
    <row r="598" spans="1:18" x14ac:dyDescent="0.35">
      <c r="A598">
        <v>1082</v>
      </c>
      <c r="B598" s="1">
        <v>45072</v>
      </c>
      <c r="C598" t="s">
        <v>22</v>
      </c>
      <c r="D598" t="s">
        <v>23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28</v>
      </c>
      <c r="M598" t="s">
        <v>19</v>
      </c>
      <c r="N598" t="str">
        <f t="shared" si="45"/>
        <v>South-David</v>
      </c>
      <c r="O598">
        <f t="shared" si="46"/>
        <v>2698.6</v>
      </c>
      <c r="P598">
        <f t="shared" si="47"/>
        <v>3153.38</v>
      </c>
      <c r="Q598">
        <f t="shared" si="48"/>
        <v>454.7800000000002</v>
      </c>
      <c r="R598">
        <f t="shared" si="49"/>
        <v>14.42198529831483</v>
      </c>
    </row>
    <row r="599" spans="1:18" x14ac:dyDescent="0.35">
      <c r="A599">
        <v>1096</v>
      </c>
      <c r="B599" s="1">
        <v>45219</v>
      </c>
      <c r="C599" t="s">
        <v>22</v>
      </c>
      <c r="D599" t="s">
        <v>23</v>
      </c>
      <c r="E599">
        <v>7051.25</v>
      </c>
      <c r="F599">
        <v>10</v>
      </c>
      <c r="G599" t="s">
        <v>26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21</v>
      </c>
      <c r="N599" t="str">
        <f t="shared" si="45"/>
        <v>South-David</v>
      </c>
      <c r="O599">
        <f t="shared" si="46"/>
        <v>29270.2</v>
      </c>
      <c r="P599">
        <f t="shared" si="47"/>
        <v>33872.1</v>
      </c>
      <c r="Q599">
        <f t="shared" si="48"/>
        <v>4601.8999999999978</v>
      </c>
      <c r="R599">
        <f t="shared" si="49"/>
        <v>13.586107740588856</v>
      </c>
    </row>
    <row r="600" spans="1:18" x14ac:dyDescent="0.35">
      <c r="A600">
        <v>1024</v>
      </c>
      <c r="B600" s="1">
        <v>45079</v>
      </c>
      <c r="C600" t="s">
        <v>33</v>
      </c>
      <c r="D600" t="s">
        <v>20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28</v>
      </c>
      <c r="M600" t="s">
        <v>19</v>
      </c>
      <c r="N600" t="str">
        <f t="shared" si="45"/>
        <v>West-Alice</v>
      </c>
      <c r="O600">
        <f t="shared" si="46"/>
        <v>7209.86</v>
      </c>
      <c r="P600">
        <f t="shared" si="47"/>
        <v>7661.42</v>
      </c>
      <c r="Q600">
        <f t="shared" si="48"/>
        <v>451.5600000000004</v>
      </c>
      <c r="R600">
        <f t="shared" si="49"/>
        <v>5.8939465529888766</v>
      </c>
    </row>
    <row r="601" spans="1:18" x14ac:dyDescent="0.35">
      <c r="A601">
        <v>1023</v>
      </c>
      <c r="B601" s="1">
        <v>45119</v>
      </c>
      <c r="C601" t="s">
        <v>33</v>
      </c>
      <c r="D601" t="s">
        <v>15</v>
      </c>
      <c r="E601">
        <v>5051.12</v>
      </c>
      <c r="F601">
        <v>2</v>
      </c>
      <c r="G601" t="s">
        <v>24</v>
      </c>
      <c r="H601">
        <v>665.89</v>
      </c>
      <c r="I601">
        <v>944.79</v>
      </c>
      <c r="J601" t="s">
        <v>27</v>
      </c>
      <c r="K601">
        <v>0.1</v>
      </c>
      <c r="L601" t="s">
        <v>28</v>
      </c>
      <c r="M601" t="s">
        <v>21</v>
      </c>
      <c r="N601" t="str">
        <f t="shared" si="45"/>
        <v>North-Alice</v>
      </c>
      <c r="O601">
        <f t="shared" si="46"/>
        <v>1331.78</v>
      </c>
      <c r="P601">
        <f t="shared" si="47"/>
        <v>1889.58</v>
      </c>
      <c r="Q601">
        <f t="shared" si="48"/>
        <v>557.79999999999995</v>
      </c>
      <c r="R601">
        <f t="shared" si="49"/>
        <v>29.519787465997734</v>
      </c>
    </row>
    <row r="602" spans="1:18" x14ac:dyDescent="0.35">
      <c r="A602">
        <v>1062</v>
      </c>
      <c r="B602" s="1">
        <v>44999</v>
      </c>
      <c r="C602" t="s">
        <v>33</v>
      </c>
      <c r="D602" t="s">
        <v>30</v>
      </c>
      <c r="E602">
        <v>4178.3900000000003</v>
      </c>
      <c r="F602">
        <v>24</v>
      </c>
      <c r="G602" t="s">
        <v>24</v>
      </c>
      <c r="H602">
        <v>3018.01</v>
      </c>
      <c r="I602">
        <v>3418.19</v>
      </c>
      <c r="J602" t="s">
        <v>17</v>
      </c>
      <c r="K602">
        <v>0.23</v>
      </c>
      <c r="L602" t="s">
        <v>25</v>
      </c>
      <c r="M602" t="s">
        <v>21</v>
      </c>
      <c r="N602" t="str">
        <f t="shared" si="45"/>
        <v>East-Alice</v>
      </c>
      <c r="O602">
        <f t="shared" si="46"/>
        <v>72432.240000000005</v>
      </c>
      <c r="P602">
        <f t="shared" si="47"/>
        <v>82036.56</v>
      </c>
      <c r="Q602">
        <f t="shared" si="48"/>
        <v>9604.3199999999924</v>
      </c>
      <c r="R602">
        <f t="shared" si="49"/>
        <v>11.707365594071707</v>
      </c>
    </row>
    <row r="603" spans="1:18" x14ac:dyDescent="0.35">
      <c r="A603">
        <v>1096</v>
      </c>
      <c r="B603" s="1">
        <v>45231</v>
      </c>
      <c r="C603" t="s">
        <v>14</v>
      </c>
      <c r="D603" t="s">
        <v>23</v>
      </c>
      <c r="E603">
        <v>8718.2199999999993</v>
      </c>
      <c r="F603">
        <v>17</v>
      </c>
      <c r="G603" t="s">
        <v>24</v>
      </c>
      <c r="H603">
        <v>2774.24</v>
      </c>
      <c r="I603">
        <v>3069.9399999999901</v>
      </c>
      <c r="J603" t="s">
        <v>17</v>
      </c>
      <c r="K603">
        <v>0.23</v>
      </c>
      <c r="L603" t="s">
        <v>25</v>
      </c>
      <c r="M603" t="s">
        <v>21</v>
      </c>
      <c r="N603" t="str">
        <f t="shared" si="45"/>
        <v>South-Bob</v>
      </c>
      <c r="O603">
        <f t="shared" si="46"/>
        <v>47162.079999999994</v>
      </c>
      <c r="P603">
        <f t="shared" si="47"/>
        <v>52188.979999999829</v>
      </c>
      <c r="Q603">
        <f t="shared" si="48"/>
        <v>5026.8999999998341</v>
      </c>
      <c r="R603">
        <f t="shared" si="49"/>
        <v>9.6321100738122301</v>
      </c>
    </row>
    <row r="604" spans="1:18" x14ac:dyDescent="0.3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31</v>
      </c>
      <c r="H604">
        <v>2594.08</v>
      </c>
      <c r="I604">
        <v>3074.59</v>
      </c>
      <c r="J604" t="s">
        <v>27</v>
      </c>
      <c r="K604">
        <v>0.14000000000000001</v>
      </c>
      <c r="L604" t="s">
        <v>18</v>
      </c>
      <c r="M604" t="s">
        <v>21</v>
      </c>
      <c r="N604" t="str">
        <f t="shared" si="45"/>
        <v>North-Bob</v>
      </c>
      <c r="O604">
        <f t="shared" si="46"/>
        <v>83010.559999999998</v>
      </c>
      <c r="P604">
        <f t="shared" si="47"/>
        <v>98386.880000000005</v>
      </c>
      <c r="Q604">
        <f t="shared" si="48"/>
        <v>15376.320000000007</v>
      </c>
      <c r="R604">
        <f t="shared" si="49"/>
        <v>15.628425253448434</v>
      </c>
    </row>
    <row r="605" spans="1:18" x14ac:dyDescent="0.3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24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21</v>
      </c>
      <c r="N605" t="str">
        <f t="shared" si="45"/>
        <v>North-Bob</v>
      </c>
      <c r="O605">
        <f t="shared" si="46"/>
        <v>55457.760000000002</v>
      </c>
      <c r="P605">
        <f t="shared" si="47"/>
        <v>60794.720000000001</v>
      </c>
      <c r="Q605">
        <f t="shared" si="48"/>
        <v>5336.9599999999991</v>
      </c>
      <c r="R605">
        <f t="shared" si="49"/>
        <v>8.7786570939055224</v>
      </c>
    </row>
    <row r="606" spans="1:18" x14ac:dyDescent="0.35">
      <c r="A606">
        <v>1055</v>
      </c>
      <c r="B606" s="1">
        <v>45113</v>
      </c>
      <c r="C606" t="s">
        <v>32</v>
      </c>
      <c r="D606" t="s">
        <v>23</v>
      </c>
      <c r="E606">
        <v>1242.4100000000001</v>
      </c>
      <c r="F606">
        <v>16</v>
      </c>
      <c r="G606" t="s">
        <v>26</v>
      </c>
      <c r="H606">
        <v>4195.38</v>
      </c>
      <c r="I606">
        <v>4461.51</v>
      </c>
      <c r="J606" t="s">
        <v>17</v>
      </c>
      <c r="K606">
        <v>0.09</v>
      </c>
      <c r="L606" t="s">
        <v>25</v>
      </c>
      <c r="M606" t="s">
        <v>19</v>
      </c>
      <c r="N606" t="str">
        <f t="shared" si="45"/>
        <v>South-Eve</v>
      </c>
      <c r="O606">
        <f t="shared" si="46"/>
        <v>67126.080000000002</v>
      </c>
      <c r="P606">
        <f t="shared" si="47"/>
        <v>71384.160000000003</v>
      </c>
      <c r="Q606">
        <f t="shared" si="48"/>
        <v>4258.0800000000017</v>
      </c>
      <c r="R606">
        <f t="shared" si="49"/>
        <v>5.9650208113396612</v>
      </c>
    </row>
    <row r="607" spans="1:18" x14ac:dyDescent="0.35">
      <c r="A607">
        <v>1013</v>
      </c>
      <c r="B607" s="1">
        <v>45219</v>
      </c>
      <c r="C607" t="s">
        <v>22</v>
      </c>
      <c r="D607" t="s">
        <v>30</v>
      </c>
      <c r="E607">
        <v>6095.82</v>
      </c>
      <c r="F607">
        <v>46</v>
      </c>
      <c r="G607" t="s">
        <v>31</v>
      </c>
      <c r="H607">
        <v>1648.8</v>
      </c>
      <c r="I607">
        <v>1670.36</v>
      </c>
      <c r="J607" t="s">
        <v>17</v>
      </c>
      <c r="K607">
        <v>0.09</v>
      </c>
      <c r="L607" t="s">
        <v>28</v>
      </c>
      <c r="M607" t="s">
        <v>21</v>
      </c>
      <c r="N607" t="str">
        <f t="shared" si="45"/>
        <v>East-David</v>
      </c>
      <c r="O607">
        <f t="shared" si="46"/>
        <v>75844.800000000003</v>
      </c>
      <c r="P607">
        <f t="shared" si="47"/>
        <v>76836.56</v>
      </c>
      <c r="Q607">
        <f t="shared" si="48"/>
        <v>991.75999999999476</v>
      </c>
      <c r="R607">
        <f t="shared" si="49"/>
        <v>1.2907397207787477</v>
      </c>
    </row>
    <row r="608" spans="1:18" x14ac:dyDescent="0.35">
      <c r="A608">
        <v>1023</v>
      </c>
      <c r="B608" s="1">
        <v>44987</v>
      </c>
      <c r="C608" t="s">
        <v>22</v>
      </c>
      <c r="D608" t="s">
        <v>20</v>
      </c>
      <c r="E608">
        <v>1260.32</v>
      </c>
      <c r="F608">
        <v>39</v>
      </c>
      <c r="G608" t="s">
        <v>24</v>
      </c>
      <c r="H608">
        <v>4450.6099999999997</v>
      </c>
      <c r="I608">
        <v>4663.3399999999901</v>
      </c>
      <c r="J608" t="s">
        <v>27</v>
      </c>
      <c r="K608">
        <v>0.24</v>
      </c>
      <c r="L608" t="s">
        <v>18</v>
      </c>
      <c r="M608" t="s">
        <v>21</v>
      </c>
      <c r="N608" t="str">
        <f t="shared" si="45"/>
        <v>West-David</v>
      </c>
      <c r="O608">
        <f t="shared" si="46"/>
        <v>173573.78999999998</v>
      </c>
      <c r="P608">
        <f t="shared" si="47"/>
        <v>181870.2599999996</v>
      </c>
      <c r="Q608">
        <f t="shared" si="48"/>
        <v>8296.4699999996228</v>
      </c>
      <c r="R608">
        <f t="shared" si="49"/>
        <v>4.5617518774095558</v>
      </c>
    </row>
    <row r="609" spans="1:18" x14ac:dyDescent="0.35">
      <c r="A609">
        <v>1089</v>
      </c>
      <c r="B609" s="1">
        <v>45124</v>
      </c>
      <c r="C609" t="s">
        <v>29</v>
      </c>
      <c r="D609" t="s">
        <v>15</v>
      </c>
      <c r="E609">
        <v>3438.35</v>
      </c>
      <c r="F609">
        <v>31</v>
      </c>
      <c r="G609" t="s">
        <v>26</v>
      </c>
      <c r="H609">
        <v>845.14</v>
      </c>
      <c r="I609">
        <v>1001.77</v>
      </c>
      <c r="J609" t="s">
        <v>27</v>
      </c>
      <c r="K609">
        <v>0.03</v>
      </c>
      <c r="L609" t="s">
        <v>18</v>
      </c>
      <c r="M609" t="s">
        <v>19</v>
      </c>
      <c r="N609" t="str">
        <f t="shared" si="45"/>
        <v>North-Charlie</v>
      </c>
      <c r="O609">
        <f t="shared" si="46"/>
        <v>26199.34</v>
      </c>
      <c r="P609">
        <f t="shared" si="47"/>
        <v>31054.87</v>
      </c>
      <c r="Q609">
        <f t="shared" si="48"/>
        <v>4855.5299999999988</v>
      </c>
      <c r="R609">
        <f t="shared" si="49"/>
        <v>15.635325473911173</v>
      </c>
    </row>
    <row r="610" spans="1:18" x14ac:dyDescent="0.35">
      <c r="A610">
        <v>1099</v>
      </c>
      <c r="B610" s="1">
        <v>45221</v>
      </c>
      <c r="C610" t="s">
        <v>14</v>
      </c>
      <c r="D610" t="s">
        <v>20</v>
      </c>
      <c r="E610">
        <v>1514.14</v>
      </c>
      <c r="F610">
        <v>43</v>
      </c>
      <c r="G610" t="s">
        <v>26</v>
      </c>
      <c r="H610">
        <v>906.47</v>
      </c>
      <c r="I610">
        <v>1283.04</v>
      </c>
      <c r="J610" t="s">
        <v>27</v>
      </c>
      <c r="K610">
        <v>0.24</v>
      </c>
      <c r="L610" t="s">
        <v>18</v>
      </c>
      <c r="M610" t="s">
        <v>19</v>
      </c>
      <c r="N610" t="str">
        <f t="shared" si="45"/>
        <v>West-Bob</v>
      </c>
      <c r="O610">
        <f t="shared" si="46"/>
        <v>38978.21</v>
      </c>
      <c r="P610">
        <f t="shared" si="47"/>
        <v>55170.720000000001</v>
      </c>
      <c r="Q610">
        <f t="shared" si="48"/>
        <v>16192.510000000002</v>
      </c>
      <c r="R610">
        <f t="shared" si="49"/>
        <v>29.349825414640236</v>
      </c>
    </row>
    <row r="611" spans="1:18" x14ac:dyDescent="0.35">
      <c r="A611">
        <v>1030</v>
      </c>
      <c r="B611" s="1">
        <v>45245</v>
      </c>
      <c r="C611" t="s">
        <v>32</v>
      </c>
      <c r="D611" t="s">
        <v>30</v>
      </c>
      <c r="E611">
        <v>6951.53</v>
      </c>
      <c r="F611">
        <v>24</v>
      </c>
      <c r="G611" t="s">
        <v>26</v>
      </c>
      <c r="H611">
        <v>1370.52</v>
      </c>
      <c r="I611">
        <v>1482.58</v>
      </c>
      <c r="J611" t="s">
        <v>17</v>
      </c>
      <c r="K611">
        <v>0.2</v>
      </c>
      <c r="L611" t="s">
        <v>28</v>
      </c>
      <c r="M611" t="s">
        <v>21</v>
      </c>
      <c r="N611" t="str">
        <f t="shared" si="45"/>
        <v>East-Eve</v>
      </c>
      <c r="O611">
        <f t="shared" si="46"/>
        <v>32892.479999999996</v>
      </c>
      <c r="P611">
        <f t="shared" si="47"/>
        <v>35581.919999999998</v>
      </c>
      <c r="Q611">
        <f t="shared" si="48"/>
        <v>2689.4400000000023</v>
      </c>
      <c r="R611">
        <f t="shared" si="49"/>
        <v>7.5584454127264706</v>
      </c>
    </row>
    <row r="612" spans="1:18" x14ac:dyDescent="0.35">
      <c r="A612">
        <v>1017</v>
      </c>
      <c r="B612" s="1">
        <v>45228</v>
      </c>
      <c r="C612" t="s">
        <v>32</v>
      </c>
      <c r="D612" t="s">
        <v>30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27</v>
      </c>
      <c r="K612">
        <v>0.22</v>
      </c>
      <c r="L612" t="s">
        <v>25</v>
      </c>
      <c r="M612" t="s">
        <v>19</v>
      </c>
      <c r="N612" t="str">
        <f t="shared" si="45"/>
        <v>East-Eve</v>
      </c>
      <c r="O612">
        <f t="shared" si="46"/>
        <v>641.67999999999995</v>
      </c>
      <c r="P612">
        <f t="shared" si="47"/>
        <v>752.24</v>
      </c>
      <c r="Q612">
        <f t="shared" si="48"/>
        <v>110.56000000000006</v>
      </c>
      <c r="R612">
        <f t="shared" si="49"/>
        <v>14.697436988195264</v>
      </c>
    </row>
    <row r="613" spans="1:18" x14ac:dyDescent="0.35">
      <c r="A613">
        <v>1062</v>
      </c>
      <c r="B613" s="1">
        <v>45270</v>
      </c>
      <c r="C613" t="s">
        <v>22</v>
      </c>
      <c r="D613" t="s">
        <v>20</v>
      </c>
      <c r="E613">
        <v>3979.41</v>
      </c>
      <c r="F613">
        <v>11</v>
      </c>
      <c r="G613" t="s">
        <v>31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21</v>
      </c>
      <c r="N613" t="str">
        <f t="shared" si="45"/>
        <v>West-David</v>
      </c>
      <c r="O613">
        <f t="shared" si="46"/>
        <v>13090.88</v>
      </c>
      <c r="P613">
        <f t="shared" si="47"/>
        <v>14222.339999999891</v>
      </c>
      <c r="Q613">
        <f t="shared" si="48"/>
        <v>1131.4599999998918</v>
      </c>
      <c r="R613">
        <f t="shared" si="49"/>
        <v>7.9555122434135344</v>
      </c>
    </row>
    <row r="614" spans="1:18" x14ac:dyDescent="0.35">
      <c r="A614">
        <v>1084</v>
      </c>
      <c r="B614" s="1">
        <v>44937</v>
      </c>
      <c r="C614" t="s">
        <v>14</v>
      </c>
      <c r="D614" t="s">
        <v>30</v>
      </c>
      <c r="E614">
        <v>8967.18</v>
      </c>
      <c r="F614">
        <v>21</v>
      </c>
      <c r="G614" t="s">
        <v>26</v>
      </c>
      <c r="H614">
        <v>576.74</v>
      </c>
      <c r="I614">
        <v>648.29</v>
      </c>
      <c r="J614" t="s">
        <v>17</v>
      </c>
      <c r="K614">
        <v>0.2</v>
      </c>
      <c r="L614" t="s">
        <v>25</v>
      </c>
      <c r="M614" t="s">
        <v>19</v>
      </c>
      <c r="N614" t="str">
        <f t="shared" si="45"/>
        <v>East-Bob</v>
      </c>
      <c r="O614">
        <f t="shared" si="46"/>
        <v>12111.54</v>
      </c>
      <c r="P614">
        <f t="shared" si="47"/>
        <v>13614.09</v>
      </c>
      <c r="Q614">
        <f t="shared" si="48"/>
        <v>1502.5499999999993</v>
      </c>
      <c r="R614">
        <f t="shared" si="49"/>
        <v>11.036727390519669</v>
      </c>
    </row>
    <row r="615" spans="1:18" x14ac:dyDescent="0.35">
      <c r="A615">
        <v>1089</v>
      </c>
      <c r="B615" s="1">
        <v>44988</v>
      </c>
      <c r="C615" t="s">
        <v>29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25</v>
      </c>
      <c r="M615" t="s">
        <v>19</v>
      </c>
      <c r="N615" t="str">
        <f t="shared" si="45"/>
        <v>North-Charlie</v>
      </c>
      <c r="O615">
        <f t="shared" si="46"/>
        <v>16470.68</v>
      </c>
      <c r="P615">
        <f t="shared" si="47"/>
        <v>17120.240000000002</v>
      </c>
      <c r="Q615">
        <f t="shared" si="48"/>
        <v>649.56000000000131</v>
      </c>
      <c r="R615">
        <f t="shared" si="49"/>
        <v>3.794105690107155</v>
      </c>
    </row>
    <row r="616" spans="1:18" x14ac:dyDescent="0.35">
      <c r="A616">
        <v>1086</v>
      </c>
      <c r="B616" s="1">
        <v>45259</v>
      </c>
      <c r="C616" t="s">
        <v>14</v>
      </c>
      <c r="D616" t="s">
        <v>20</v>
      </c>
      <c r="E616">
        <v>5127.2700000000004</v>
      </c>
      <c r="F616">
        <v>7</v>
      </c>
      <c r="G616" t="s">
        <v>24</v>
      </c>
      <c r="H616">
        <v>737.9</v>
      </c>
      <c r="I616">
        <v>1182</v>
      </c>
      <c r="J616" t="s">
        <v>27</v>
      </c>
      <c r="K616">
        <v>0.23</v>
      </c>
      <c r="L616" t="s">
        <v>28</v>
      </c>
      <c r="M616" t="s">
        <v>21</v>
      </c>
      <c r="N616" t="str">
        <f t="shared" si="45"/>
        <v>West-Bob</v>
      </c>
      <c r="O616">
        <f t="shared" si="46"/>
        <v>5165.3</v>
      </c>
      <c r="P616">
        <f t="shared" si="47"/>
        <v>8274</v>
      </c>
      <c r="Q616">
        <f t="shared" si="48"/>
        <v>3108.7</v>
      </c>
      <c r="R616">
        <f t="shared" si="49"/>
        <v>37.571912013536377</v>
      </c>
    </row>
    <row r="617" spans="1:18" x14ac:dyDescent="0.35">
      <c r="A617">
        <v>1013</v>
      </c>
      <c r="B617" s="1">
        <v>45152</v>
      </c>
      <c r="C617" t="s">
        <v>33</v>
      </c>
      <c r="D617" t="s">
        <v>30</v>
      </c>
      <c r="E617">
        <v>4250.79</v>
      </c>
      <c r="F617">
        <v>26</v>
      </c>
      <c r="G617" t="s">
        <v>26</v>
      </c>
      <c r="H617">
        <v>3749.12</v>
      </c>
      <c r="I617">
        <v>4138.83</v>
      </c>
      <c r="J617" t="s">
        <v>27</v>
      </c>
      <c r="K617">
        <v>0.13</v>
      </c>
      <c r="L617" t="s">
        <v>28</v>
      </c>
      <c r="M617" t="s">
        <v>19</v>
      </c>
      <c r="N617" t="str">
        <f t="shared" si="45"/>
        <v>East-Alice</v>
      </c>
      <c r="O617">
        <f t="shared" si="46"/>
        <v>97477.119999999995</v>
      </c>
      <c r="P617">
        <f t="shared" si="47"/>
        <v>107609.58</v>
      </c>
      <c r="Q617">
        <f t="shared" si="48"/>
        <v>10132.460000000006</v>
      </c>
      <c r="R617">
        <f t="shared" si="49"/>
        <v>9.4159460523867899</v>
      </c>
    </row>
    <row r="618" spans="1:18" x14ac:dyDescent="0.35">
      <c r="A618">
        <v>1059</v>
      </c>
      <c r="B618" s="1">
        <v>45079</v>
      </c>
      <c r="C618" t="s">
        <v>14</v>
      </c>
      <c r="D618" t="s">
        <v>20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28</v>
      </c>
      <c r="M618" t="s">
        <v>21</v>
      </c>
      <c r="N618" t="str">
        <f t="shared" si="45"/>
        <v>West-Bob</v>
      </c>
      <c r="O618">
        <f t="shared" si="46"/>
        <v>13496.990000000002</v>
      </c>
      <c r="P618">
        <f t="shared" si="47"/>
        <v>30899.680000000004</v>
      </c>
      <c r="Q618">
        <f t="shared" si="48"/>
        <v>17402.690000000002</v>
      </c>
      <c r="R618">
        <f t="shared" si="49"/>
        <v>56.31996836213191</v>
      </c>
    </row>
    <row r="619" spans="1:18" x14ac:dyDescent="0.35">
      <c r="A619">
        <v>1019</v>
      </c>
      <c r="B619" s="1">
        <v>45125</v>
      </c>
      <c r="C619" t="s">
        <v>33</v>
      </c>
      <c r="D619" t="s">
        <v>15</v>
      </c>
      <c r="E619">
        <v>7948.31</v>
      </c>
      <c r="F619">
        <v>12</v>
      </c>
      <c r="G619" t="s">
        <v>26</v>
      </c>
      <c r="H619">
        <v>4745.18</v>
      </c>
      <c r="I619">
        <v>5145.88</v>
      </c>
      <c r="J619" t="s">
        <v>17</v>
      </c>
      <c r="K619">
        <v>0.19</v>
      </c>
      <c r="L619" t="s">
        <v>28</v>
      </c>
      <c r="M619" t="s">
        <v>19</v>
      </c>
      <c r="N619" t="str">
        <f t="shared" si="45"/>
        <v>North-Alice</v>
      </c>
      <c r="O619">
        <f t="shared" si="46"/>
        <v>56942.16</v>
      </c>
      <c r="P619">
        <f t="shared" si="47"/>
        <v>61750.559999999998</v>
      </c>
      <c r="Q619">
        <f t="shared" si="48"/>
        <v>4808.3999999999942</v>
      </c>
      <c r="R619">
        <f t="shared" si="49"/>
        <v>7.7868119738509156</v>
      </c>
    </row>
    <row r="620" spans="1:18" x14ac:dyDescent="0.35">
      <c r="A620">
        <v>1049</v>
      </c>
      <c r="B620" s="1">
        <v>44978</v>
      </c>
      <c r="C620" t="s">
        <v>33</v>
      </c>
      <c r="D620" t="s">
        <v>30</v>
      </c>
      <c r="E620">
        <v>783.55</v>
      </c>
      <c r="F620">
        <v>31</v>
      </c>
      <c r="G620" t="s">
        <v>31</v>
      </c>
      <c r="H620">
        <v>3570.24</v>
      </c>
      <c r="I620">
        <v>3712.25</v>
      </c>
      <c r="J620" t="s">
        <v>27</v>
      </c>
      <c r="K620">
        <v>0.03</v>
      </c>
      <c r="L620" t="s">
        <v>28</v>
      </c>
      <c r="M620" t="s">
        <v>19</v>
      </c>
      <c r="N620" t="str">
        <f t="shared" si="45"/>
        <v>East-Alice</v>
      </c>
      <c r="O620">
        <f t="shared" si="46"/>
        <v>110677.43999999999</v>
      </c>
      <c r="P620">
        <f t="shared" si="47"/>
        <v>115079.75</v>
      </c>
      <c r="Q620">
        <f t="shared" si="48"/>
        <v>4402.3100000000122</v>
      </c>
      <c r="R620">
        <f t="shared" si="49"/>
        <v>3.8254427907603312</v>
      </c>
    </row>
    <row r="621" spans="1:18" x14ac:dyDescent="0.35">
      <c r="A621">
        <v>1100</v>
      </c>
      <c r="B621" s="1">
        <v>45186</v>
      </c>
      <c r="C621" t="s">
        <v>29</v>
      </c>
      <c r="D621" t="s">
        <v>15</v>
      </c>
      <c r="E621">
        <v>4795.12</v>
      </c>
      <c r="F621">
        <v>17</v>
      </c>
      <c r="G621" t="s">
        <v>31</v>
      </c>
      <c r="H621">
        <v>83.64</v>
      </c>
      <c r="I621">
        <v>528.49</v>
      </c>
      <c r="J621" t="s">
        <v>27</v>
      </c>
      <c r="K621">
        <v>0.13</v>
      </c>
      <c r="L621" t="s">
        <v>28</v>
      </c>
      <c r="M621" t="s">
        <v>19</v>
      </c>
      <c r="N621" t="str">
        <f t="shared" si="45"/>
        <v>North-Charlie</v>
      </c>
      <c r="O621">
        <f t="shared" si="46"/>
        <v>1421.88</v>
      </c>
      <c r="P621">
        <f t="shared" si="47"/>
        <v>8984.33</v>
      </c>
      <c r="Q621">
        <f t="shared" si="48"/>
        <v>7562.45</v>
      </c>
      <c r="R621">
        <f t="shared" si="49"/>
        <v>84.173778122575641</v>
      </c>
    </row>
    <row r="622" spans="1:18" x14ac:dyDescent="0.35">
      <c r="A622">
        <v>1012</v>
      </c>
      <c r="B622" s="1">
        <v>44985</v>
      </c>
      <c r="C622" t="s">
        <v>22</v>
      </c>
      <c r="D622" t="s">
        <v>30</v>
      </c>
      <c r="E622">
        <v>5650.72</v>
      </c>
      <c r="F622">
        <v>33</v>
      </c>
      <c r="G622" t="s">
        <v>24</v>
      </c>
      <c r="H622">
        <v>3831.09</v>
      </c>
      <c r="I622">
        <v>3908.37</v>
      </c>
      <c r="J622" t="s">
        <v>27</v>
      </c>
      <c r="K622">
        <v>0.28999999999999998</v>
      </c>
      <c r="L622" t="s">
        <v>18</v>
      </c>
      <c r="M622" t="s">
        <v>21</v>
      </c>
      <c r="N622" t="str">
        <f t="shared" si="45"/>
        <v>East-David</v>
      </c>
      <c r="O622">
        <f t="shared" si="46"/>
        <v>126425.97</v>
      </c>
      <c r="P622">
        <f t="shared" si="47"/>
        <v>128976.20999999999</v>
      </c>
      <c r="Q622">
        <f t="shared" si="48"/>
        <v>2550.2399999999907</v>
      </c>
      <c r="R622">
        <f t="shared" si="49"/>
        <v>1.977294882521351</v>
      </c>
    </row>
    <row r="623" spans="1:18" x14ac:dyDescent="0.35">
      <c r="A623">
        <v>1061</v>
      </c>
      <c r="B623" s="1">
        <v>44998</v>
      </c>
      <c r="C623" t="s">
        <v>14</v>
      </c>
      <c r="D623" t="s">
        <v>23</v>
      </c>
      <c r="E623">
        <v>6321.42</v>
      </c>
      <c r="F623">
        <v>11</v>
      </c>
      <c r="G623" t="s">
        <v>26</v>
      </c>
      <c r="H623">
        <v>2594.71</v>
      </c>
      <c r="I623">
        <v>2769.52</v>
      </c>
      <c r="J623" t="s">
        <v>17</v>
      </c>
      <c r="K623">
        <v>0.01</v>
      </c>
      <c r="L623" t="s">
        <v>25</v>
      </c>
      <c r="M623" t="s">
        <v>21</v>
      </c>
      <c r="N623" t="str">
        <f t="shared" si="45"/>
        <v>South-Bob</v>
      </c>
      <c r="O623">
        <f t="shared" si="46"/>
        <v>28541.81</v>
      </c>
      <c r="P623">
        <f t="shared" si="47"/>
        <v>30464.720000000001</v>
      </c>
      <c r="Q623">
        <f t="shared" si="48"/>
        <v>1922.9099999999999</v>
      </c>
      <c r="R623">
        <f t="shared" si="49"/>
        <v>6.3119240879285927</v>
      </c>
    </row>
    <row r="624" spans="1:18" x14ac:dyDescent="0.35">
      <c r="A624">
        <v>1019</v>
      </c>
      <c r="B624" s="1">
        <v>45074</v>
      </c>
      <c r="C624" t="s">
        <v>33</v>
      </c>
      <c r="D624" t="s">
        <v>30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27</v>
      </c>
      <c r="K624">
        <v>0.09</v>
      </c>
      <c r="L624" t="s">
        <v>28</v>
      </c>
      <c r="M624" t="s">
        <v>19</v>
      </c>
      <c r="N624" t="str">
        <f t="shared" si="45"/>
        <v>East-Alice</v>
      </c>
      <c r="O624">
        <f t="shared" si="46"/>
        <v>109420.08</v>
      </c>
      <c r="P624">
        <f t="shared" si="47"/>
        <v>117750.36</v>
      </c>
      <c r="Q624">
        <f t="shared" si="48"/>
        <v>8330.2799999999988</v>
      </c>
      <c r="R624">
        <f t="shared" si="49"/>
        <v>7.0745261415761265</v>
      </c>
    </row>
    <row r="625" spans="1:18" x14ac:dyDescent="0.35">
      <c r="A625">
        <v>1076</v>
      </c>
      <c r="B625" s="1">
        <v>45275</v>
      </c>
      <c r="C625" t="s">
        <v>14</v>
      </c>
      <c r="D625" t="s">
        <v>20</v>
      </c>
      <c r="E625">
        <v>2607.4</v>
      </c>
      <c r="F625">
        <v>32</v>
      </c>
      <c r="G625" t="s">
        <v>24</v>
      </c>
      <c r="H625">
        <v>2636.36</v>
      </c>
      <c r="I625">
        <v>2696.78</v>
      </c>
      <c r="J625" t="s">
        <v>27</v>
      </c>
      <c r="K625">
        <v>0.09</v>
      </c>
      <c r="L625" t="s">
        <v>18</v>
      </c>
      <c r="M625" t="s">
        <v>21</v>
      </c>
      <c r="N625" t="str">
        <f t="shared" si="45"/>
        <v>West-Bob</v>
      </c>
      <c r="O625">
        <f t="shared" si="46"/>
        <v>84363.520000000004</v>
      </c>
      <c r="P625">
        <f t="shared" si="47"/>
        <v>86296.960000000006</v>
      </c>
      <c r="Q625">
        <f t="shared" si="48"/>
        <v>1933.4400000000023</v>
      </c>
      <c r="R625">
        <f t="shared" si="49"/>
        <v>2.2404497215197408</v>
      </c>
    </row>
    <row r="626" spans="1:18" x14ac:dyDescent="0.35">
      <c r="A626">
        <v>1009</v>
      </c>
      <c r="B626" s="1">
        <v>44989</v>
      </c>
      <c r="C626" t="s">
        <v>22</v>
      </c>
      <c r="D626" t="s">
        <v>30</v>
      </c>
      <c r="E626">
        <v>198.79</v>
      </c>
      <c r="F626">
        <v>1</v>
      </c>
      <c r="G626" t="s">
        <v>26</v>
      </c>
      <c r="H626">
        <v>3223.07</v>
      </c>
      <c r="I626">
        <v>3590.83</v>
      </c>
      <c r="J626" t="s">
        <v>27</v>
      </c>
      <c r="K626">
        <v>0.19</v>
      </c>
      <c r="L626" t="s">
        <v>25</v>
      </c>
      <c r="M626" t="s">
        <v>21</v>
      </c>
      <c r="N626" t="str">
        <f t="shared" si="45"/>
        <v>East-David</v>
      </c>
      <c r="O626">
        <f t="shared" si="46"/>
        <v>3223.07</v>
      </c>
      <c r="P626">
        <f t="shared" si="47"/>
        <v>3590.83</v>
      </c>
      <c r="Q626">
        <f t="shared" si="48"/>
        <v>367.75999999999976</v>
      </c>
      <c r="R626">
        <f t="shared" si="49"/>
        <v>10.241643296953622</v>
      </c>
    </row>
    <row r="627" spans="1:18" x14ac:dyDescent="0.35">
      <c r="A627">
        <v>1071</v>
      </c>
      <c r="B627" s="1">
        <v>45236</v>
      </c>
      <c r="C627" t="s">
        <v>22</v>
      </c>
      <c r="D627" t="s">
        <v>15</v>
      </c>
      <c r="E627">
        <v>7262.09</v>
      </c>
      <c r="F627">
        <v>47</v>
      </c>
      <c r="G627" t="s">
        <v>24</v>
      </c>
      <c r="H627">
        <v>3942.34</v>
      </c>
      <c r="I627">
        <v>4142.09</v>
      </c>
      <c r="J627" t="s">
        <v>17</v>
      </c>
      <c r="K627">
        <v>0.03</v>
      </c>
      <c r="L627" t="s">
        <v>28</v>
      </c>
      <c r="M627" t="s">
        <v>21</v>
      </c>
      <c r="N627" t="str">
        <f t="shared" si="45"/>
        <v>North-David</v>
      </c>
      <c r="O627">
        <f t="shared" si="46"/>
        <v>185289.98</v>
      </c>
      <c r="P627">
        <f t="shared" si="47"/>
        <v>194678.23</v>
      </c>
      <c r="Q627">
        <f t="shared" si="48"/>
        <v>9388.25</v>
      </c>
      <c r="R627">
        <f t="shared" si="49"/>
        <v>4.8224447078648698</v>
      </c>
    </row>
    <row r="628" spans="1:18" x14ac:dyDescent="0.35">
      <c r="A628">
        <v>1028</v>
      </c>
      <c r="B628" s="1">
        <v>45169</v>
      </c>
      <c r="C628" t="s">
        <v>32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27</v>
      </c>
      <c r="K628">
        <v>0.19</v>
      </c>
      <c r="L628" t="s">
        <v>28</v>
      </c>
      <c r="M628" t="s">
        <v>19</v>
      </c>
      <c r="N628" t="str">
        <f t="shared" si="45"/>
        <v>North-Eve</v>
      </c>
      <c r="O628">
        <f t="shared" si="46"/>
        <v>57547.840000000004</v>
      </c>
      <c r="P628">
        <f t="shared" si="47"/>
        <v>68589.919999999998</v>
      </c>
      <c r="Q628">
        <f t="shared" si="48"/>
        <v>11042.079999999994</v>
      </c>
      <c r="R628">
        <f t="shared" si="49"/>
        <v>16.098692052709779</v>
      </c>
    </row>
    <row r="629" spans="1:18" x14ac:dyDescent="0.35">
      <c r="A629">
        <v>1078</v>
      </c>
      <c r="B629" s="1">
        <v>45292</v>
      </c>
      <c r="C629" t="s">
        <v>22</v>
      </c>
      <c r="D629" t="s">
        <v>30</v>
      </c>
      <c r="E629">
        <v>8377.57</v>
      </c>
      <c r="F629">
        <v>42</v>
      </c>
      <c r="G629" t="s">
        <v>24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21</v>
      </c>
      <c r="N629" t="str">
        <f t="shared" si="45"/>
        <v>East-David</v>
      </c>
      <c r="O629">
        <f t="shared" si="46"/>
        <v>2663.22</v>
      </c>
      <c r="P629">
        <f t="shared" si="47"/>
        <v>13227.06</v>
      </c>
      <c r="Q629">
        <f t="shared" si="48"/>
        <v>10563.84</v>
      </c>
      <c r="R629">
        <f t="shared" si="49"/>
        <v>79.865366906931698</v>
      </c>
    </row>
    <row r="630" spans="1:18" x14ac:dyDescent="0.35">
      <c r="A630">
        <v>1095</v>
      </c>
      <c r="B630" s="1">
        <v>45256</v>
      </c>
      <c r="C630" t="s">
        <v>29</v>
      </c>
      <c r="D630" t="s">
        <v>20</v>
      </c>
      <c r="E630">
        <v>8231.74</v>
      </c>
      <c r="F630">
        <v>7</v>
      </c>
      <c r="G630" t="s">
        <v>24</v>
      </c>
      <c r="H630">
        <v>4257.24</v>
      </c>
      <c r="I630">
        <v>4355.87</v>
      </c>
      <c r="J630" t="s">
        <v>17</v>
      </c>
      <c r="K630">
        <v>0.03</v>
      </c>
      <c r="L630" t="s">
        <v>25</v>
      </c>
      <c r="M630" t="s">
        <v>19</v>
      </c>
      <c r="N630" t="str">
        <f t="shared" si="45"/>
        <v>West-Charlie</v>
      </c>
      <c r="O630">
        <f t="shared" si="46"/>
        <v>29800.68</v>
      </c>
      <c r="P630">
        <f t="shared" si="47"/>
        <v>30491.09</v>
      </c>
      <c r="Q630">
        <f t="shared" si="48"/>
        <v>690.40999999999985</v>
      </c>
      <c r="R630">
        <f t="shared" si="49"/>
        <v>2.2643008170583601</v>
      </c>
    </row>
    <row r="631" spans="1:18" x14ac:dyDescent="0.35">
      <c r="A631">
        <v>1052</v>
      </c>
      <c r="B631" s="1">
        <v>45033</v>
      </c>
      <c r="C631" t="s">
        <v>33</v>
      </c>
      <c r="D631" t="s">
        <v>23</v>
      </c>
      <c r="E631">
        <v>8448.93</v>
      </c>
      <c r="F631">
        <v>2</v>
      </c>
      <c r="G631" t="s">
        <v>24</v>
      </c>
      <c r="H631">
        <v>1935.41</v>
      </c>
      <c r="I631">
        <v>2305.44</v>
      </c>
      <c r="J631" t="s">
        <v>17</v>
      </c>
      <c r="K631">
        <v>0.22</v>
      </c>
      <c r="L631" t="s">
        <v>28</v>
      </c>
      <c r="M631" t="s">
        <v>19</v>
      </c>
      <c r="N631" t="str">
        <f t="shared" si="45"/>
        <v>South-Alice</v>
      </c>
      <c r="O631">
        <f t="shared" si="46"/>
        <v>3870.82</v>
      </c>
      <c r="P631">
        <f t="shared" si="47"/>
        <v>4610.88</v>
      </c>
      <c r="Q631">
        <f t="shared" si="48"/>
        <v>740.06</v>
      </c>
      <c r="R631">
        <f t="shared" si="49"/>
        <v>16.050298424595738</v>
      </c>
    </row>
    <row r="632" spans="1:18" x14ac:dyDescent="0.35">
      <c r="A632">
        <v>1083</v>
      </c>
      <c r="B632" s="1">
        <v>45152</v>
      </c>
      <c r="C632" t="s">
        <v>32</v>
      </c>
      <c r="D632" t="s">
        <v>20</v>
      </c>
      <c r="E632">
        <v>4902.4399999999996</v>
      </c>
      <c r="F632">
        <v>42</v>
      </c>
      <c r="G632" t="s">
        <v>26</v>
      </c>
      <c r="H632">
        <v>2505.41</v>
      </c>
      <c r="I632">
        <v>2638.96</v>
      </c>
      <c r="J632" t="s">
        <v>27</v>
      </c>
      <c r="K632">
        <v>0.1</v>
      </c>
      <c r="L632" t="s">
        <v>25</v>
      </c>
      <c r="M632" t="s">
        <v>19</v>
      </c>
      <c r="N632" t="str">
        <f t="shared" si="45"/>
        <v>West-Eve</v>
      </c>
      <c r="O632">
        <f t="shared" si="46"/>
        <v>105227.22</v>
      </c>
      <c r="P632">
        <f t="shared" si="47"/>
        <v>110836.32</v>
      </c>
      <c r="Q632">
        <f t="shared" si="48"/>
        <v>5609.1000000000058</v>
      </c>
      <c r="R632">
        <f t="shared" si="49"/>
        <v>5.0607057325613169</v>
      </c>
    </row>
    <row r="633" spans="1:18" x14ac:dyDescent="0.35">
      <c r="A633">
        <v>1016</v>
      </c>
      <c r="B633" s="1">
        <v>45239</v>
      </c>
      <c r="C633" t="s">
        <v>29</v>
      </c>
      <c r="D633" t="s">
        <v>23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27</v>
      </c>
      <c r="K633">
        <v>0.28999999999999998</v>
      </c>
      <c r="L633" t="s">
        <v>18</v>
      </c>
      <c r="M633" t="s">
        <v>19</v>
      </c>
      <c r="N633" t="str">
        <f t="shared" si="45"/>
        <v>South-Charlie</v>
      </c>
      <c r="O633">
        <f t="shared" si="46"/>
        <v>2122.56</v>
      </c>
      <c r="P633">
        <f t="shared" si="47"/>
        <v>8134.5599999999995</v>
      </c>
      <c r="Q633">
        <f t="shared" si="48"/>
        <v>6012</v>
      </c>
      <c r="R633">
        <f t="shared" si="49"/>
        <v>73.906886174544169</v>
      </c>
    </row>
    <row r="634" spans="1:18" x14ac:dyDescent="0.3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31</v>
      </c>
      <c r="H634">
        <v>2485.86</v>
      </c>
      <c r="I634">
        <v>2532.87</v>
      </c>
      <c r="J634" t="s">
        <v>27</v>
      </c>
      <c r="K634">
        <v>0.01</v>
      </c>
      <c r="L634" t="s">
        <v>28</v>
      </c>
      <c r="M634" t="s">
        <v>19</v>
      </c>
      <c r="N634" t="str">
        <f t="shared" si="45"/>
        <v>North-Bob</v>
      </c>
      <c r="O634">
        <f t="shared" si="46"/>
        <v>9943.44</v>
      </c>
      <c r="P634">
        <f t="shared" si="47"/>
        <v>10131.48</v>
      </c>
      <c r="Q634">
        <f t="shared" si="48"/>
        <v>188.03999999999905</v>
      </c>
      <c r="R634">
        <f t="shared" si="49"/>
        <v>1.8559973468831708</v>
      </c>
    </row>
    <row r="635" spans="1:18" x14ac:dyDescent="0.35">
      <c r="A635">
        <v>1099</v>
      </c>
      <c r="B635" s="1">
        <v>45167</v>
      </c>
      <c r="C635" t="s">
        <v>33</v>
      </c>
      <c r="D635" t="s">
        <v>20</v>
      </c>
      <c r="E635">
        <v>4567.8100000000004</v>
      </c>
      <c r="F635">
        <v>44</v>
      </c>
      <c r="G635" t="s">
        <v>26</v>
      </c>
      <c r="H635">
        <v>4933.1099999999997</v>
      </c>
      <c r="I635">
        <v>5245.86</v>
      </c>
      <c r="J635" t="s">
        <v>17</v>
      </c>
      <c r="K635">
        <v>0.13</v>
      </c>
      <c r="L635" t="s">
        <v>25</v>
      </c>
      <c r="M635" t="s">
        <v>21</v>
      </c>
      <c r="N635" t="str">
        <f t="shared" si="45"/>
        <v>West-Alice</v>
      </c>
      <c r="O635">
        <f t="shared" si="46"/>
        <v>217056.84</v>
      </c>
      <c r="P635">
        <f t="shared" si="47"/>
        <v>230817.84</v>
      </c>
      <c r="Q635">
        <f t="shared" si="48"/>
        <v>13761</v>
      </c>
      <c r="R635">
        <f t="shared" si="49"/>
        <v>5.9618441971383147</v>
      </c>
    </row>
    <row r="636" spans="1:18" x14ac:dyDescent="0.35">
      <c r="A636">
        <v>1012</v>
      </c>
      <c r="B636" s="1">
        <v>45185</v>
      </c>
      <c r="C636" t="s">
        <v>22</v>
      </c>
      <c r="D636" t="s">
        <v>23</v>
      </c>
      <c r="E636">
        <v>1916.08</v>
      </c>
      <c r="F636">
        <v>19</v>
      </c>
      <c r="G636" t="s">
        <v>31</v>
      </c>
      <c r="H636">
        <v>1427.42</v>
      </c>
      <c r="I636">
        <v>1763.69</v>
      </c>
      <c r="J636" t="s">
        <v>27</v>
      </c>
      <c r="K636">
        <v>0.03</v>
      </c>
      <c r="L636" t="s">
        <v>18</v>
      </c>
      <c r="M636" t="s">
        <v>21</v>
      </c>
      <c r="N636" t="str">
        <f t="shared" si="45"/>
        <v>South-David</v>
      </c>
      <c r="O636">
        <f t="shared" si="46"/>
        <v>27120.980000000003</v>
      </c>
      <c r="P636">
        <f t="shared" si="47"/>
        <v>33510.11</v>
      </c>
      <c r="Q636">
        <f t="shared" si="48"/>
        <v>6389.1299999999974</v>
      </c>
      <c r="R636">
        <f t="shared" si="49"/>
        <v>19.066275819446719</v>
      </c>
    </row>
    <row r="637" spans="1:18" x14ac:dyDescent="0.35">
      <c r="A637">
        <v>1025</v>
      </c>
      <c r="B637" s="1">
        <v>45188</v>
      </c>
      <c r="C637" t="s">
        <v>33</v>
      </c>
      <c r="D637" t="s">
        <v>30</v>
      </c>
      <c r="E637">
        <v>8564.24</v>
      </c>
      <c r="F637">
        <v>26</v>
      </c>
      <c r="G637" t="s">
        <v>31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tr">
        <f t="shared" si="45"/>
        <v>East-Alice</v>
      </c>
      <c r="O637">
        <f t="shared" si="46"/>
        <v>52190.32</v>
      </c>
      <c r="P637">
        <f t="shared" si="47"/>
        <v>57274.619999999995</v>
      </c>
      <c r="Q637">
        <f t="shared" si="48"/>
        <v>5084.2999999999956</v>
      </c>
      <c r="R637">
        <f t="shared" si="49"/>
        <v>8.8770558407895095</v>
      </c>
    </row>
    <row r="638" spans="1:18" x14ac:dyDescent="0.3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26</v>
      </c>
      <c r="H638">
        <v>3451.59</v>
      </c>
      <c r="I638">
        <v>3929.26</v>
      </c>
      <c r="J638" t="s">
        <v>27</v>
      </c>
      <c r="K638">
        <v>0.3</v>
      </c>
      <c r="L638" t="s">
        <v>28</v>
      </c>
      <c r="M638" t="s">
        <v>21</v>
      </c>
      <c r="N638" t="str">
        <f t="shared" si="45"/>
        <v>North-Bob</v>
      </c>
      <c r="O638">
        <f t="shared" si="46"/>
        <v>37967.490000000005</v>
      </c>
      <c r="P638">
        <f t="shared" si="47"/>
        <v>43221.86</v>
      </c>
      <c r="Q638">
        <f t="shared" si="48"/>
        <v>5254.3699999999953</v>
      </c>
      <c r="R638">
        <f t="shared" si="49"/>
        <v>12.156741981950789</v>
      </c>
    </row>
    <row r="639" spans="1:18" x14ac:dyDescent="0.35">
      <c r="A639">
        <v>1085</v>
      </c>
      <c r="B639" s="1">
        <v>45187</v>
      </c>
      <c r="C639" t="s">
        <v>32</v>
      </c>
      <c r="D639" t="s">
        <v>30</v>
      </c>
      <c r="E639">
        <v>4716.47</v>
      </c>
      <c r="F639">
        <v>40</v>
      </c>
      <c r="G639" t="s">
        <v>26</v>
      </c>
      <c r="H639">
        <v>4083.23</v>
      </c>
      <c r="I639">
        <v>4521.57</v>
      </c>
      <c r="J639" t="s">
        <v>27</v>
      </c>
      <c r="K639">
        <v>0.27</v>
      </c>
      <c r="L639" t="s">
        <v>25</v>
      </c>
      <c r="M639" t="s">
        <v>21</v>
      </c>
      <c r="N639" t="str">
        <f t="shared" si="45"/>
        <v>East-Eve</v>
      </c>
      <c r="O639">
        <f t="shared" si="46"/>
        <v>163329.20000000001</v>
      </c>
      <c r="P639">
        <f t="shared" si="47"/>
        <v>180862.8</v>
      </c>
      <c r="Q639">
        <f t="shared" si="48"/>
        <v>17533.599999999977</v>
      </c>
      <c r="R639">
        <f t="shared" si="49"/>
        <v>9.6944203009131655</v>
      </c>
    </row>
    <row r="640" spans="1:18" x14ac:dyDescent="0.35">
      <c r="A640">
        <v>1100</v>
      </c>
      <c r="B640" s="1">
        <v>44980</v>
      </c>
      <c r="C640" t="s">
        <v>32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27</v>
      </c>
      <c r="K640">
        <v>0.01</v>
      </c>
      <c r="L640" t="s">
        <v>28</v>
      </c>
      <c r="M640" t="s">
        <v>21</v>
      </c>
      <c r="N640" t="str">
        <f t="shared" si="45"/>
        <v>North-Eve</v>
      </c>
      <c r="O640">
        <f t="shared" si="46"/>
        <v>90991.87000000001</v>
      </c>
      <c r="P640">
        <f t="shared" si="47"/>
        <v>106338.14</v>
      </c>
      <c r="Q640">
        <f t="shared" si="48"/>
        <v>15346.26999999999</v>
      </c>
      <c r="R640">
        <f t="shared" si="49"/>
        <v>14.431576478580489</v>
      </c>
    </row>
    <row r="641" spans="1:18" x14ac:dyDescent="0.35">
      <c r="A641">
        <v>1053</v>
      </c>
      <c r="B641" s="1">
        <v>44973</v>
      </c>
      <c r="C641" t="s">
        <v>32</v>
      </c>
      <c r="D641" t="s">
        <v>20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27</v>
      </c>
      <c r="K641">
        <v>0.17</v>
      </c>
      <c r="L641" t="s">
        <v>28</v>
      </c>
      <c r="M641" t="s">
        <v>21</v>
      </c>
      <c r="N641" t="str">
        <f t="shared" si="45"/>
        <v>West-Eve</v>
      </c>
      <c r="O641">
        <f t="shared" si="46"/>
        <v>17411.46</v>
      </c>
      <c r="P641">
        <f t="shared" si="47"/>
        <v>21368.05</v>
      </c>
      <c r="Q641">
        <f t="shared" si="48"/>
        <v>3956.59</v>
      </c>
      <c r="R641">
        <f t="shared" si="49"/>
        <v>18.516383104681992</v>
      </c>
    </row>
    <row r="642" spans="1:18" x14ac:dyDescent="0.35">
      <c r="A642">
        <v>1023</v>
      </c>
      <c r="B642" s="1">
        <v>45141</v>
      </c>
      <c r="C642" t="s">
        <v>22</v>
      </c>
      <c r="D642" t="s">
        <v>20</v>
      </c>
      <c r="E642">
        <v>8055.02</v>
      </c>
      <c r="F642">
        <v>45</v>
      </c>
      <c r="G642" t="s">
        <v>24</v>
      </c>
      <c r="H642">
        <v>4692.24</v>
      </c>
      <c r="I642">
        <v>4825.92</v>
      </c>
      <c r="J642" t="s">
        <v>17</v>
      </c>
      <c r="K642">
        <v>0.19</v>
      </c>
      <c r="L642" t="s">
        <v>25</v>
      </c>
      <c r="M642" t="s">
        <v>21</v>
      </c>
      <c r="N642" t="str">
        <f t="shared" si="45"/>
        <v>West-David</v>
      </c>
      <c r="O642">
        <f t="shared" si="46"/>
        <v>211150.8</v>
      </c>
      <c r="P642">
        <f t="shared" si="47"/>
        <v>217166.4</v>
      </c>
      <c r="Q642">
        <f t="shared" si="48"/>
        <v>6015.6000000000058</v>
      </c>
      <c r="R642">
        <f t="shared" si="49"/>
        <v>2.7700417744181447</v>
      </c>
    </row>
    <row r="643" spans="1:18" x14ac:dyDescent="0.35">
      <c r="A643">
        <v>1016</v>
      </c>
      <c r="B643" s="1">
        <v>45103</v>
      </c>
      <c r="C643" t="s">
        <v>29</v>
      </c>
      <c r="D643" t="s">
        <v>15</v>
      </c>
      <c r="E643">
        <v>9027.56</v>
      </c>
      <c r="F643">
        <v>3</v>
      </c>
      <c r="G643" t="s">
        <v>31</v>
      </c>
      <c r="H643">
        <v>3401.87</v>
      </c>
      <c r="I643">
        <v>3733.71</v>
      </c>
      <c r="J643" t="s">
        <v>17</v>
      </c>
      <c r="K643">
        <v>0.06</v>
      </c>
      <c r="L643" t="s">
        <v>25</v>
      </c>
      <c r="M643" t="s">
        <v>21</v>
      </c>
      <c r="N643" t="str">
        <f t="shared" ref="N643:N706" si="50">D643 &amp; "-" &amp; C643</f>
        <v>North-Charlie</v>
      </c>
      <c r="O643">
        <f t="shared" ref="O643:O706" si="51">F643*H643</f>
        <v>10205.61</v>
      </c>
      <c r="P643">
        <f t="shared" ref="P643:P706" si="52">F643*I643</f>
        <v>11201.130000000001</v>
      </c>
      <c r="Q643">
        <f t="shared" ref="Q643:Q706" si="53">P643-O643</f>
        <v>995.52000000000044</v>
      </c>
      <c r="R643">
        <f t="shared" ref="R643:R706" si="54">(Q643/P643)*100</f>
        <v>8.8876747256750015</v>
      </c>
    </row>
    <row r="644" spans="1:18" x14ac:dyDescent="0.35">
      <c r="A644">
        <v>1057</v>
      </c>
      <c r="B644" s="1">
        <v>44935</v>
      </c>
      <c r="C644" t="s">
        <v>29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25</v>
      </c>
      <c r="M644" t="s">
        <v>21</v>
      </c>
      <c r="N644" t="str">
        <f t="shared" si="50"/>
        <v>North-Charlie</v>
      </c>
      <c r="O644">
        <f t="shared" si="51"/>
        <v>7669.92</v>
      </c>
      <c r="P644">
        <f t="shared" si="52"/>
        <v>8955.36</v>
      </c>
      <c r="Q644">
        <f t="shared" si="53"/>
        <v>1285.4400000000005</v>
      </c>
      <c r="R644">
        <f t="shared" si="54"/>
        <v>14.35386182130032</v>
      </c>
    </row>
    <row r="645" spans="1:18" x14ac:dyDescent="0.35">
      <c r="A645">
        <v>1039</v>
      </c>
      <c r="B645" s="1">
        <v>45025</v>
      </c>
      <c r="C645" t="s">
        <v>33</v>
      </c>
      <c r="D645" t="s">
        <v>15</v>
      </c>
      <c r="E645">
        <v>763.04</v>
      </c>
      <c r="F645">
        <v>3</v>
      </c>
      <c r="G645" t="s">
        <v>24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tr">
        <f t="shared" si="50"/>
        <v>North-Alice</v>
      </c>
      <c r="O645">
        <f t="shared" si="51"/>
        <v>1173.57</v>
      </c>
      <c r="P645">
        <f t="shared" si="52"/>
        <v>1415.25</v>
      </c>
      <c r="Q645">
        <f t="shared" si="53"/>
        <v>241.68000000000006</v>
      </c>
      <c r="R645">
        <f t="shared" si="54"/>
        <v>17.076841547429787</v>
      </c>
    </row>
    <row r="646" spans="1:18" x14ac:dyDescent="0.35">
      <c r="A646">
        <v>1053</v>
      </c>
      <c r="B646" s="1">
        <v>44946</v>
      </c>
      <c r="C646" t="s">
        <v>22</v>
      </c>
      <c r="D646" t="s">
        <v>20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27</v>
      </c>
      <c r="K646">
        <v>0.28999999999999998</v>
      </c>
      <c r="L646" t="s">
        <v>18</v>
      </c>
      <c r="M646" t="s">
        <v>19</v>
      </c>
      <c r="N646" t="str">
        <f t="shared" si="50"/>
        <v>West-David</v>
      </c>
      <c r="O646">
        <f t="shared" si="51"/>
        <v>102629.94</v>
      </c>
      <c r="P646">
        <f t="shared" si="52"/>
        <v>123619.02</v>
      </c>
      <c r="Q646">
        <f t="shared" si="53"/>
        <v>20989.08</v>
      </c>
      <c r="R646">
        <f t="shared" si="54"/>
        <v>16.978843546891088</v>
      </c>
    </row>
    <row r="647" spans="1:18" x14ac:dyDescent="0.35">
      <c r="A647">
        <v>1042</v>
      </c>
      <c r="B647" s="1">
        <v>45167</v>
      </c>
      <c r="C647" t="s">
        <v>32</v>
      </c>
      <c r="D647" t="s">
        <v>23</v>
      </c>
      <c r="E647">
        <v>3955.11</v>
      </c>
      <c r="F647">
        <v>27</v>
      </c>
      <c r="G647" t="s">
        <v>26</v>
      </c>
      <c r="H647">
        <v>1139.45</v>
      </c>
      <c r="I647">
        <v>1454.41</v>
      </c>
      <c r="J647" t="s">
        <v>17</v>
      </c>
      <c r="K647">
        <v>0.3</v>
      </c>
      <c r="L647" t="s">
        <v>25</v>
      </c>
      <c r="M647" t="s">
        <v>19</v>
      </c>
      <c r="N647" t="str">
        <f t="shared" si="50"/>
        <v>South-Eve</v>
      </c>
      <c r="O647">
        <f t="shared" si="51"/>
        <v>30765.15</v>
      </c>
      <c r="P647">
        <f t="shared" si="52"/>
        <v>39269.07</v>
      </c>
      <c r="Q647">
        <f t="shared" si="53"/>
        <v>8503.9199999999983</v>
      </c>
      <c r="R647">
        <f t="shared" si="54"/>
        <v>21.65551666998989</v>
      </c>
    </row>
    <row r="648" spans="1:18" x14ac:dyDescent="0.35">
      <c r="A648">
        <v>1058</v>
      </c>
      <c r="B648" s="1">
        <v>44987</v>
      </c>
      <c r="C648" t="s">
        <v>32</v>
      </c>
      <c r="D648" t="s">
        <v>30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21</v>
      </c>
      <c r="N648" t="str">
        <f t="shared" si="50"/>
        <v>East-Eve</v>
      </c>
      <c r="O648">
        <f t="shared" si="51"/>
        <v>64053.78</v>
      </c>
      <c r="P648">
        <f t="shared" si="52"/>
        <v>74891.600000000006</v>
      </c>
      <c r="Q648">
        <f t="shared" si="53"/>
        <v>10837.820000000007</v>
      </c>
      <c r="R648">
        <f t="shared" si="54"/>
        <v>14.471342580476323</v>
      </c>
    </row>
    <row r="649" spans="1:18" x14ac:dyDescent="0.35">
      <c r="A649">
        <v>1039</v>
      </c>
      <c r="B649" s="1">
        <v>45104</v>
      </c>
      <c r="C649" t="s">
        <v>14</v>
      </c>
      <c r="D649" t="s">
        <v>30</v>
      </c>
      <c r="E649">
        <v>9683.85</v>
      </c>
      <c r="F649">
        <v>2</v>
      </c>
      <c r="G649" t="s">
        <v>31</v>
      </c>
      <c r="H649">
        <v>4394.58</v>
      </c>
      <c r="I649">
        <v>4545.78</v>
      </c>
      <c r="J649" t="s">
        <v>17</v>
      </c>
      <c r="K649">
        <v>0.2</v>
      </c>
      <c r="L649" t="s">
        <v>28</v>
      </c>
      <c r="M649" t="s">
        <v>21</v>
      </c>
      <c r="N649" t="str">
        <f t="shared" si="50"/>
        <v>East-Bob</v>
      </c>
      <c r="O649">
        <f t="shared" si="51"/>
        <v>8789.16</v>
      </c>
      <c r="P649">
        <f t="shared" si="52"/>
        <v>9091.56</v>
      </c>
      <c r="Q649">
        <f t="shared" si="53"/>
        <v>302.39999999999964</v>
      </c>
      <c r="R649">
        <f t="shared" si="54"/>
        <v>3.3261618468117642</v>
      </c>
    </row>
    <row r="650" spans="1:18" x14ac:dyDescent="0.35">
      <c r="A650">
        <v>1014</v>
      </c>
      <c r="B650" s="1">
        <v>45264</v>
      </c>
      <c r="C650" t="s">
        <v>14</v>
      </c>
      <c r="D650" t="s">
        <v>20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27</v>
      </c>
      <c r="K650">
        <v>0.1</v>
      </c>
      <c r="L650" t="s">
        <v>25</v>
      </c>
      <c r="M650" t="s">
        <v>19</v>
      </c>
      <c r="N650" t="str">
        <f t="shared" si="50"/>
        <v>West-Bob</v>
      </c>
      <c r="O650">
        <f t="shared" si="51"/>
        <v>24174.15</v>
      </c>
      <c r="P650">
        <f t="shared" si="52"/>
        <v>39164.229999999996</v>
      </c>
      <c r="Q650">
        <f t="shared" si="53"/>
        <v>14990.079999999994</v>
      </c>
      <c r="R650">
        <f t="shared" si="54"/>
        <v>38.274925869856233</v>
      </c>
    </row>
    <row r="651" spans="1:18" x14ac:dyDescent="0.35">
      <c r="A651">
        <v>1095</v>
      </c>
      <c r="B651" s="1">
        <v>44988</v>
      </c>
      <c r="C651" t="s">
        <v>32</v>
      </c>
      <c r="D651" t="s">
        <v>30</v>
      </c>
      <c r="E651">
        <v>6518.35</v>
      </c>
      <c r="F651">
        <v>16</v>
      </c>
      <c r="G651" t="s">
        <v>31</v>
      </c>
      <c r="H651">
        <v>3591.05</v>
      </c>
      <c r="I651">
        <v>3625.35</v>
      </c>
      <c r="J651" t="s">
        <v>17</v>
      </c>
      <c r="K651">
        <v>0.05</v>
      </c>
      <c r="L651" t="s">
        <v>28</v>
      </c>
      <c r="M651" t="s">
        <v>21</v>
      </c>
      <c r="N651" t="str">
        <f t="shared" si="50"/>
        <v>East-Eve</v>
      </c>
      <c r="O651">
        <f t="shared" si="51"/>
        <v>57456.800000000003</v>
      </c>
      <c r="P651">
        <f t="shared" si="52"/>
        <v>58005.599999999999</v>
      </c>
      <c r="Q651">
        <f t="shared" si="53"/>
        <v>548.79999999999563</v>
      </c>
      <c r="R651">
        <f t="shared" si="54"/>
        <v>0.94611554746437521</v>
      </c>
    </row>
    <row r="652" spans="1:18" x14ac:dyDescent="0.35">
      <c r="A652">
        <v>1005</v>
      </c>
      <c r="B652" s="1">
        <v>45071</v>
      </c>
      <c r="C652" t="s">
        <v>32</v>
      </c>
      <c r="D652" t="s">
        <v>15</v>
      </c>
      <c r="E652">
        <v>833.64</v>
      </c>
      <c r="F652">
        <v>2</v>
      </c>
      <c r="G652" t="s">
        <v>26</v>
      </c>
      <c r="H652">
        <v>1392.15</v>
      </c>
      <c r="I652">
        <v>1448.54</v>
      </c>
      <c r="J652" t="s">
        <v>17</v>
      </c>
      <c r="K652">
        <v>0.02</v>
      </c>
      <c r="L652" t="s">
        <v>25</v>
      </c>
      <c r="M652" t="s">
        <v>21</v>
      </c>
      <c r="N652" t="str">
        <f t="shared" si="50"/>
        <v>North-Eve</v>
      </c>
      <c r="O652">
        <f t="shared" si="51"/>
        <v>2784.3</v>
      </c>
      <c r="P652">
        <f t="shared" si="52"/>
        <v>2897.08</v>
      </c>
      <c r="Q652">
        <f t="shared" si="53"/>
        <v>112.77999999999975</v>
      </c>
      <c r="R652">
        <f t="shared" si="54"/>
        <v>3.8928852499758291</v>
      </c>
    </row>
    <row r="653" spans="1:18" x14ac:dyDescent="0.35">
      <c r="A653">
        <v>1035</v>
      </c>
      <c r="B653" s="1">
        <v>45142</v>
      </c>
      <c r="C653" t="s">
        <v>22</v>
      </c>
      <c r="D653" t="s">
        <v>23</v>
      </c>
      <c r="E653">
        <v>3817.14</v>
      </c>
      <c r="F653">
        <v>30</v>
      </c>
      <c r="G653" t="s">
        <v>31</v>
      </c>
      <c r="H653">
        <v>3813.62</v>
      </c>
      <c r="I653">
        <v>3839.72</v>
      </c>
      <c r="J653" t="s">
        <v>27</v>
      </c>
      <c r="K653">
        <v>0.21</v>
      </c>
      <c r="L653" t="s">
        <v>28</v>
      </c>
      <c r="M653" t="s">
        <v>19</v>
      </c>
      <c r="N653" t="str">
        <f t="shared" si="50"/>
        <v>South-David</v>
      </c>
      <c r="O653">
        <f t="shared" si="51"/>
        <v>114408.59999999999</v>
      </c>
      <c r="P653">
        <f t="shared" si="52"/>
        <v>115191.59999999999</v>
      </c>
      <c r="Q653">
        <f t="shared" si="53"/>
        <v>783</v>
      </c>
      <c r="R653">
        <f t="shared" si="54"/>
        <v>0.67973706416092849</v>
      </c>
    </row>
    <row r="654" spans="1:18" x14ac:dyDescent="0.35">
      <c r="A654">
        <v>1087</v>
      </c>
      <c r="B654" s="1">
        <v>44929</v>
      </c>
      <c r="C654" t="s">
        <v>29</v>
      </c>
      <c r="D654" t="s">
        <v>30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27</v>
      </c>
      <c r="K654">
        <v>0.24</v>
      </c>
      <c r="L654" t="s">
        <v>25</v>
      </c>
      <c r="M654" t="s">
        <v>19</v>
      </c>
      <c r="N654" t="str">
        <f t="shared" si="50"/>
        <v>East-Charlie</v>
      </c>
      <c r="O654">
        <f t="shared" si="51"/>
        <v>72518.8</v>
      </c>
      <c r="P654">
        <f t="shared" si="52"/>
        <v>77610.600000000006</v>
      </c>
      <c r="Q654">
        <f t="shared" si="53"/>
        <v>5091.8000000000029</v>
      </c>
      <c r="R654">
        <f t="shared" si="54"/>
        <v>6.5607017598111632</v>
      </c>
    </row>
    <row r="655" spans="1:18" x14ac:dyDescent="0.35">
      <c r="A655">
        <v>1093</v>
      </c>
      <c r="B655" s="1">
        <v>45086</v>
      </c>
      <c r="C655" t="s">
        <v>14</v>
      </c>
      <c r="D655" t="s">
        <v>23</v>
      </c>
      <c r="E655">
        <v>4391.38</v>
      </c>
      <c r="F655">
        <v>38</v>
      </c>
      <c r="G655" t="s">
        <v>24</v>
      </c>
      <c r="H655">
        <v>86.59</v>
      </c>
      <c r="I655">
        <v>390.89</v>
      </c>
      <c r="J655" t="s">
        <v>17</v>
      </c>
      <c r="K655">
        <v>0.25</v>
      </c>
      <c r="L655" t="s">
        <v>28</v>
      </c>
      <c r="M655" t="s">
        <v>19</v>
      </c>
      <c r="N655" t="str">
        <f t="shared" si="50"/>
        <v>South-Bob</v>
      </c>
      <c r="O655">
        <f t="shared" si="51"/>
        <v>3290.42</v>
      </c>
      <c r="P655">
        <f t="shared" si="52"/>
        <v>14853.82</v>
      </c>
      <c r="Q655">
        <f t="shared" si="53"/>
        <v>11563.4</v>
      </c>
      <c r="R655">
        <f t="shared" si="54"/>
        <v>77.847987924991685</v>
      </c>
    </row>
    <row r="656" spans="1:18" x14ac:dyDescent="0.35">
      <c r="A656">
        <v>1075</v>
      </c>
      <c r="B656" s="1">
        <v>45153</v>
      </c>
      <c r="C656" t="s">
        <v>29</v>
      </c>
      <c r="D656" t="s">
        <v>15</v>
      </c>
      <c r="E656">
        <v>9972.11</v>
      </c>
      <c r="F656">
        <v>28</v>
      </c>
      <c r="G656" t="s">
        <v>26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25</v>
      </c>
      <c r="M656" t="s">
        <v>21</v>
      </c>
      <c r="N656" t="str">
        <f t="shared" si="50"/>
        <v>North-Charlie</v>
      </c>
      <c r="O656">
        <f t="shared" si="51"/>
        <v>71966.159999999989</v>
      </c>
      <c r="P656">
        <f t="shared" si="52"/>
        <v>73103.519999999728</v>
      </c>
      <c r="Q656">
        <f t="shared" si="53"/>
        <v>1137.3599999997386</v>
      </c>
      <c r="R656">
        <f t="shared" si="54"/>
        <v>1.5558211150430827</v>
      </c>
    </row>
    <row r="657" spans="1:18" x14ac:dyDescent="0.35">
      <c r="A657">
        <v>1018</v>
      </c>
      <c r="B657" s="1">
        <v>45195</v>
      </c>
      <c r="C657" t="s">
        <v>22</v>
      </c>
      <c r="D657" t="s">
        <v>30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27</v>
      </c>
      <c r="K657">
        <v>0.26</v>
      </c>
      <c r="L657" t="s">
        <v>25</v>
      </c>
      <c r="M657" t="s">
        <v>21</v>
      </c>
      <c r="N657" t="str">
        <f t="shared" si="50"/>
        <v>East-David</v>
      </c>
      <c r="O657">
        <f t="shared" si="51"/>
        <v>18490.75</v>
      </c>
      <c r="P657">
        <f t="shared" si="52"/>
        <v>27575.75</v>
      </c>
      <c r="Q657">
        <f t="shared" si="53"/>
        <v>9085</v>
      </c>
      <c r="R657">
        <f t="shared" si="54"/>
        <v>32.9456134465971</v>
      </c>
    </row>
    <row r="658" spans="1:18" x14ac:dyDescent="0.35">
      <c r="A658">
        <v>1076</v>
      </c>
      <c r="B658" s="1">
        <v>45046</v>
      </c>
      <c r="C658" t="s">
        <v>32</v>
      </c>
      <c r="D658" t="s">
        <v>20</v>
      </c>
      <c r="E658">
        <v>3279.51</v>
      </c>
      <c r="F658">
        <v>32</v>
      </c>
      <c r="G658" t="s">
        <v>26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21</v>
      </c>
      <c r="N658" t="str">
        <f t="shared" si="50"/>
        <v>West-Eve</v>
      </c>
      <c r="O658">
        <f t="shared" si="51"/>
        <v>138810.23999999999</v>
      </c>
      <c r="P658">
        <f t="shared" si="52"/>
        <v>142742.72</v>
      </c>
      <c r="Q658">
        <f t="shared" si="53"/>
        <v>3932.4800000000105</v>
      </c>
      <c r="R658">
        <f t="shared" si="54"/>
        <v>2.7549425988239613</v>
      </c>
    </row>
    <row r="659" spans="1:18" x14ac:dyDescent="0.35">
      <c r="A659">
        <v>1009</v>
      </c>
      <c r="B659" s="1">
        <v>45015</v>
      </c>
      <c r="C659" t="s">
        <v>29</v>
      </c>
      <c r="D659" t="s">
        <v>23</v>
      </c>
      <c r="E659">
        <v>2279.1</v>
      </c>
      <c r="F659">
        <v>10</v>
      </c>
      <c r="G659" t="s">
        <v>26</v>
      </c>
      <c r="H659">
        <v>4364.3500000000004</v>
      </c>
      <c r="I659">
        <v>4710.1000000000004</v>
      </c>
      <c r="J659" t="s">
        <v>27</v>
      </c>
      <c r="K659">
        <v>7.0000000000000007E-2</v>
      </c>
      <c r="L659" t="s">
        <v>28</v>
      </c>
      <c r="M659" t="s">
        <v>19</v>
      </c>
      <c r="N659" t="str">
        <f t="shared" si="50"/>
        <v>South-Charlie</v>
      </c>
      <c r="O659">
        <f t="shared" si="51"/>
        <v>43643.5</v>
      </c>
      <c r="P659">
        <f t="shared" si="52"/>
        <v>47101</v>
      </c>
      <c r="Q659">
        <f t="shared" si="53"/>
        <v>3457.5</v>
      </c>
      <c r="R659">
        <f t="shared" si="54"/>
        <v>7.3406084796501139</v>
      </c>
    </row>
    <row r="660" spans="1:18" x14ac:dyDescent="0.35">
      <c r="A660">
        <v>1074</v>
      </c>
      <c r="B660" s="1">
        <v>45255</v>
      </c>
      <c r="C660" t="s">
        <v>32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tr">
        <f t="shared" si="50"/>
        <v>North-Eve</v>
      </c>
      <c r="O660">
        <f t="shared" si="51"/>
        <v>89074.02</v>
      </c>
      <c r="P660">
        <f t="shared" si="52"/>
        <v>109701.48</v>
      </c>
      <c r="Q660">
        <f t="shared" si="53"/>
        <v>20627.459999999992</v>
      </c>
      <c r="R660">
        <f t="shared" si="54"/>
        <v>18.803265006087422</v>
      </c>
    </row>
    <row r="661" spans="1:18" x14ac:dyDescent="0.35">
      <c r="A661">
        <v>1058</v>
      </c>
      <c r="B661" s="1">
        <v>44994</v>
      </c>
      <c r="C661" t="s">
        <v>32</v>
      </c>
      <c r="D661" t="s">
        <v>23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28</v>
      </c>
      <c r="M661" t="s">
        <v>21</v>
      </c>
      <c r="N661" t="str">
        <f t="shared" si="50"/>
        <v>South-Eve</v>
      </c>
      <c r="O661">
        <f t="shared" si="51"/>
        <v>89990.400000000009</v>
      </c>
      <c r="P661">
        <f t="shared" si="52"/>
        <v>103936</v>
      </c>
      <c r="Q661">
        <f t="shared" si="53"/>
        <v>13945.599999999991</v>
      </c>
      <c r="R661">
        <f t="shared" si="54"/>
        <v>13.417487684729057</v>
      </c>
    </row>
    <row r="662" spans="1:18" x14ac:dyDescent="0.35">
      <c r="A662">
        <v>1017</v>
      </c>
      <c r="B662" s="1">
        <v>45283</v>
      </c>
      <c r="C662" t="s">
        <v>33</v>
      </c>
      <c r="D662" t="s">
        <v>30</v>
      </c>
      <c r="E662">
        <v>780.27</v>
      </c>
      <c r="F662">
        <v>33</v>
      </c>
      <c r="G662" t="s">
        <v>24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tr">
        <f t="shared" si="50"/>
        <v>East-Alice</v>
      </c>
      <c r="O662">
        <f t="shared" si="51"/>
        <v>51191.25</v>
      </c>
      <c r="P662">
        <f t="shared" si="52"/>
        <v>65802.33</v>
      </c>
      <c r="Q662">
        <f t="shared" si="53"/>
        <v>14611.080000000002</v>
      </c>
      <c r="R662">
        <f t="shared" si="54"/>
        <v>22.204502484942402</v>
      </c>
    </row>
    <row r="663" spans="1:18" x14ac:dyDescent="0.35">
      <c r="A663">
        <v>1007</v>
      </c>
      <c r="B663" s="1">
        <v>45024</v>
      </c>
      <c r="C663" t="s">
        <v>29</v>
      </c>
      <c r="D663" t="s">
        <v>30</v>
      </c>
      <c r="E663">
        <v>3758.78</v>
      </c>
      <c r="F663">
        <v>13</v>
      </c>
      <c r="G663" t="s">
        <v>26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25</v>
      </c>
      <c r="M663" t="s">
        <v>19</v>
      </c>
      <c r="N663" t="str">
        <f t="shared" si="50"/>
        <v>East-Charlie</v>
      </c>
      <c r="O663">
        <f t="shared" si="51"/>
        <v>46763.6</v>
      </c>
      <c r="P663">
        <f t="shared" si="52"/>
        <v>52933.659999999873</v>
      </c>
      <c r="Q663">
        <f t="shared" si="53"/>
        <v>6170.059999999874</v>
      </c>
      <c r="R663">
        <f t="shared" si="54"/>
        <v>11.656212700954155</v>
      </c>
    </row>
    <row r="664" spans="1:18" x14ac:dyDescent="0.35">
      <c r="A664">
        <v>1046</v>
      </c>
      <c r="B664" s="1">
        <v>45193</v>
      </c>
      <c r="C664" t="s">
        <v>29</v>
      </c>
      <c r="D664" t="s">
        <v>20</v>
      </c>
      <c r="E664">
        <v>4695.96</v>
      </c>
      <c r="F664">
        <v>41</v>
      </c>
      <c r="G664" t="s">
        <v>26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21</v>
      </c>
      <c r="N664" t="str">
        <f t="shared" si="50"/>
        <v>West-Charlie</v>
      </c>
      <c r="O664">
        <f t="shared" si="51"/>
        <v>74840.17</v>
      </c>
      <c r="P664">
        <f t="shared" si="52"/>
        <v>85029.08</v>
      </c>
      <c r="Q664">
        <f t="shared" si="53"/>
        <v>10188.910000000003</v>
      </c>
      <c r="R664">
        <f t="shared" si="54"/>
        <v>11.982853395567732</v>
      </c>
    </row>
    <row r="665" spans="1:18" x14ac:dyDescent="0.35">
      <c r="A665">
        <v>1013</v>
      </c>
      <c r="B665" s="1">
        <v>45031</v>
      </c>
      <c r="C665" t="s">
        <v>32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27</v>
      </c>
      <c r="K665">
        <v>0.04</v>
      </c>
      <c r="L665" t="s">
        <v>18</v>
      </c>
      <c r="M665" t="s">
        <v>19</v>
      </c>
      <c r="N665" t="str">
        <f t="shared" si="50"/>
        <v>North-Eve</v>
      </c>
      <c r="O665">
        <f t="shared" si="51"/>
        <v>57773.939999999995</v>
      </c>
      <c r="P665">
        <f t="shared" si="52"/>
        <v>72647.820000000007</v>
      </c>
      <c r="Q665">
        <f t="shared" si="53"/>
        <v>14873.880000000012</v>
      </c>
      <c r="R665">
        <f t="shared" si="54"/>
        <v>20.473952281018221</v>
      </c>
    </row>
    <row r="666" spans="1:18" x14ac:dyDescent="0.35">
      <c r="A666">
        <v>1040</v>
      </c>
      <c r="B666" s="1">
        <v>45249</v>
      </c>
      <c r="C666" t="s">
        <v>22</v>
      </c>
      <c r="D666" t="s">
        <v>15</v>
      </c>
      <c r="E666">
        <v>6601.62</v>
      </c>
      <c r="F666">
        <v>47</v>
      </c>
      <c r="G666" t="s">
        <v>31</v>
      </c>
      <c r="H666">
        <v>2189.54</v>
      </c>
      <c r="I666">
        <v>2617</v>
      </c>
      <c r="J666" t="s">
        <v>27</v>
      </c>
      <c r="K666">
        <v>0.01</v>
      </c>
      <c r="L666" t="s">
        <v>25</v>
      </c>
      <c r="M666" t="s">
        <v>19</v>
      </c>
      <c r="N666" t="str">
        <f t="shared" si="50"/>
        <v>North-David</v>
      </c>
      <c r="O666">
        <f t="shared" si="51"/>
        <v>102908.38</v>
      </c>
      <c r="P666">
        <f t="shared" si="52"/>
        <v>122999</v>
      </c>
      <c r="Q666">
        <f t="shared" si="53"/>
        <v>20090.619999999995</v>
      </c>
      <c r="R666">
        <f t="shared" si="54"/>
        <v>16.33397019487963</v>
      </c>
    </row>
    <row r="667" spans="1:18" x14ac:dyDescent="0.35">
      <c r="A667">
        <v>1042</v>
      </c>
      <c r="B667" s="1">
        <v>45049</v>
      </c>
      <c r="C667" t="s">
        <v>33</v>
      </c>
      <c r="D667" t="s">
        <v>20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tr">
        <f t="shared" si="50"/>
        <v>West-Alice</v>
      </c>
      <c r="O667">
        <f t="shared" si="51"/>
        <v>18605.82</v>
      </c>
      <c r="P667">
        <f t="shared" si="52"/>
        <v>25441.200000000001</v>
      </c>
      <c r="Q667">
        <f t="shared" si="53"/>
        <v>6835.380000000001</v>
      </c>
      <c r="R667">
        <f t="shared" si="54"/>
        <v>26.867364746945903</v>
      </c>
    </row>
    <row r="668" spans="1:18" x14ac:dyDescent="0.35">
      <c r="A668">
        <v>1009</v>
      </c>
      <c r="B668" s="1">
        <v>44955</v>
      </c>
      <c r="C668" t="s">
        <v>32</v>
      </c>
      <c r="D668" t="s">
        <v>20</v>
      </c>
      <c r="E668">
        <v>182.8</v>
      </c>
      <c r="F668">
        <v>16</v>
      </c>
      <c r="G668" t="s">
        <v>26</v>
      </c>
      <c r="H668">
        <v>3745.69</v>
      </c>
      <c r="I668">
        <v>3883.77</v>
      </c>
      <c r="J668" t="s">
        <v>17</v>
      </c>
      <c r="K668">
        <v>0.18</v>
      </c>
      <c r="L668" t="s">
        <v>25</v>
      </c>
      <c r="M668" t="s">
        <v>21</v>
      </c>
      <c r="N668" t="str">
        <f t="shared" si="50"/>
        <v>West-Eve</v>
      </c>
      <c r="O668">
        <f t="shared" si="51"/>
        <v>59931.040000000001</v>
      </c>
      <c r="P668">
        <f t="shared" si="52"/>
        <v>62140.32</v>
      </c>
      <c r="Q668">
        <f t="shared" si="53"/>
        <v>2209.2799999999988</v>
      </c>
      <c r="R668">
        <f t="shared" si="54"/>
        <v>3.5553083730498951</v>
      </c>
    </row>
    <row r="669" spans="1:18" x14ac:dyDescent="0.3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28</v>
      </c>
      <c r="M669" t="s">
        <v>21</v>
      </c>
      <c r="N669" t="str">
        <f t="shared" si="50"/>
        <v>North-Bob</v>
      </c>
      <c r="O669">
        <f t="shared" si="51"/>
        <v>5055.75</v>
      </c>
      <c r="P669">
        <f t="shared" si="52"/>
        <v>26378.1</v>
      </c>
      <c r="Q669">
        <f t="shared" si="53"/>
        <v>21322.35</v>
      </c>
      <c r="R669">
        <f t="shared" si="54"/>
        <v>80.833532362073086</v>
      </c>
    </row>
    <row r="670" spans="1:18" x14ac:dyDescent="0.35">
      <c r="A670">
        <v>1027</v>
      </c>
      <c r="B670" s="1">
        <v>45121</v>
      </c>
      <c r="C670" t="s">
        <v>14</v>
      </c>
      <c r="D670" t="s">
        <v>23</v>
      </c>
      <c r="E670">
        <v>6650.67</v>
      </c>
      <c r="F670">
        <v>22</v>
      </c>
      <c r="G670" t="s">
        <v>24</v>
      </c>
      <c r="H670">
        <v>3240.2</v>
      </c>
      <c r="I670">
        <v>3606.0899999999901</v>
      </c>
      <c r="J670" t="s">
        <v>27</v>
      </c>
      <c r="K670">
        <v>7.0000000000000007E-2</v>
      </c>
      <c r="L670" t="s">
        <v>18</v>
      </c>
      <c r="M670" t="s">
        <v>19</v>
      </c>
      <c r="N670" t="str">
        <f t="shared" si="50"/>
        <v>South-Bob</v>
      </c>
      <c r="O670">
        <f t="shared" si="51"/>
        <v>71284.399999999994</v>
      </c>
      <c r="P670">
        <f t="shared" si="52"/>
        <v>79333.979999999778</v>
      </c>
      <c r="Q670">
        <f t="shared" si="53"/>
        <v>8049.5799999997835</v>
      </c>
      <c r="R670">
        <f t="shared" si="54"/>
        <v>10.146446705434172</v>
      </c>
    </row>
    <row r="671" spans="1:18" x14ac:dyDescent="0.35">
      <c r="A671">
        <v>1066</v>
      </c>
      <c r="B671" s="1">
        <v>45152</v>
      </c>
      <c r="C671" t="s">
        <v>33</v>
      </c>
      <c r="D671" t="s">
        <v>23</v>
      </c>
      <c r="E671">
        <v>4891.49</v>
      </c>
      <c r="F671">
        <v>20</v>
      </c>
      <c r="G671" t="s">
        <v>31</v>
      </c>
      <c r="H671">
        <v>955.18</v>
      </c>
      <c r="I671">
        <v>1072.82</v>
      </c>
      <c r="J671" t="s">
        <v>27</v>
      </c>
      <c r="K671">
        <v>0.03</v>
      </c>
      <c r="L671" t="s">
        <v>25</v>
      </c>
      <c r="M671" t="s">
        <v>21</v>
      </c>
      <c r="N671" t="str">
        <f t="shared" si="50"/>
        <v>South-Alice</v>
      </c>
      <c r="O671">
        <f t="shared" si="51"/>
        <v>19103.599999999999</v>
      </c>
      <c r="P671">
        <f t="shared" si="52"/>
        <v>21456.399999999998</v>
      </c>
      <c r="Q671">
        <f t="shared" si="53"/>
        <v>2352.7999999999993</v>
      </c>
      <c r="R671">
        <f t="shared" si="54"/>
        <v>10.965492813333084</v>
      </c>
    </row>
    <row r="672" spans="1:18" x14ac:dyDescent="0.35">
      <c r="A672">
        <v>1005</v>
      </c>
      <c r="B672" s="1">
        <v>45258</v>
      </c>
      <c r="C672" t="s">
        <v>22</v>
      </c>
      <c r="D672" t="s">
        <v>20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27</v>
      </c>
      <c r="K672">
        <v>0.08</v>
      </c>
      <c r="L672" t="s">
        <v>25</v>
      </c>
      <c r="M672" t="s">
        <v>21</v>
      </c>
      <c r="N672" t="str">
        <f t="shared" si="50"/>
        <v>West-David</v>
      </c>
      <c r="O672">
        <f t="shared" si="51"/>
        <v>51617.200000000004</v>
      </c>
      <c r="P672">
        <f t="shared" si="52"/>
        <v>61509.35</v>
      </c>
      <c r="Q672">
        <f t="shared" si="53"/>
        <v>9892.1499999999942</v>
      </c>
      <c r="R672">
        <f t="shared" si="54"/>
        <v>16.082351707504621</v>
      </c>
    </row>
    <row r="673" spans="1:18" x14ac:dyDescent="0.35">
      <c r="A673">
        <v>1029</v>
      </c>
      <c r="B673" s="1">
        <v>45096</v>
      </c>
      <c r="C673" t="s">
        <v>32</v>
      </c>
      <c r="D673" t="s">
        <v>23</v>
      </c>
      <c r="E673">
        <v>8064.5</v>
      </c>
      <c r="F673">
        <v>27</v>
      </c>
      <c r="G673" t="s">
        <v>24</v>
      </c>
      <c r="H673">
        <v>3196.38</v>
      </c>
      <c r="I673">
        <v>3596.64</v>
      </c>
      <c r="J673" t="s">
        <v>27</v>
      </c>
      <c r="K673">
        <v>0.01</v>
      </c>
      <c r="L673" t="s">
        <v>18</v>
      </c>
      <c r="M673" t="s">
        <v>21</v>
      </c>
      <c r="N673" t="str">
        <f t="shared" si="50"/>
        <v>South-Eve</v>
      </c>
      <c r="O673">
        <f t="shared" si="51"/>
        <v>86302.260000000009</v>
      </c>
      <c r="P673">
        <f t="shared" si="52"/>
        <v>97109.28</v>
      </c>
      <c r="Q673">
        <f t="shared" si="53"/>
        <v>10807.01999999999</v>
      </c>
      <c r="R673">
        <f t="shared" si="54"/>
        <v>11.128720138796201</v>
      </c>
    </row>
    <row r="674" spans="1:18" x14ac:dyDescent="0.35">
      <c r="A674">
        <v>1037</v>
      </c>
      <c r="B674" s="1">
        <v>44935</v>
      </c>
      <c r="C674" t="s">
        <v>29</v>
      </c>
      <c r="D674" t="s">
        <v>15</v>
      </c>
      <c r="E674">
        <v>7750.81</v>
      </c>
      <c r="F674">
        <v>41</v>
      </c>
      <c r="G674" t="s">
        <v>26</v>
      </c>
      <c r="H674">
        <v>4965.07</v>
      </c>
      <c r="I674">
        <v>5243.13</v>
      </c>
      <c r="J674" t="s">
        <v>27</v>
      </c>
      <c r="K674">
        <v>0.01</v>
      </c>
      <c r="L674" t="s">
        <v>28</v>
      </c>
      <c r="M674" t="s">
        <v>19</v>
      </c>
      <c r="N674" t="str">
        <f t="shared" si="50"/>
        <v>North-Charlie</v>
      </c>
      <c r="O674">
        <f t="shared" si="51"/>
        <v>203567.87</v>
      </c>
      <c r="P674">
        <f t="shared" si="52"/>
        <v>214968.33000000002</v>
      </c>
      <c r="Q674">
        <f t="shared" si="53"/>
        <v>11400.460000000021</v>
      </c>
      <c r="R674">
        <f t="shared" si="54"/>
        <v>5.3033207263600275</v>
      </c>
    </row>
    <row r="675" spans="1:18" x14ac:dyDescent="0.35">
      <c r="A675">
        <v>1038</v>
      </c>
      <c r="B675" s="1">
        <v>44966</v>
      </c>
      <c r="C675" t="s">
        <v>33</v>
      </c>
      <c r="D675" t="s">
        <v>30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27</v>
      </c>
      <c r="K675">
        <v>0.27</v>
      </c>
      <c r="L675" t="s">
        <v>18</v>
      </c>
      <c r="M675" t="s">
        <v>21</v>
      </c>
      <c r="N675" t="str">
        <f t="shared" si="50"/>
        <v>East-Alice</v>
      </c>
      <c r="O675">
        <f t="shared" si="51"/>
        <v>62395.199999999997</v>
      </c>
      <c r="P675">
        <f t="shared" si="52"/>
        <v>67650.880000000005</v>
      </c>
      <c r="Q675">
        <f t="shared" si="53"/>
        <v>5255.6800000000076</v>
      </c>
      <c r="R675">
        <f t="shared" si="54"/>
        <v>7.7688272495494619</v>
      </c>
    </row>
    <row r="676" spans="1:18" x14ac:dyDescent="0.35">
      <c r="A676">
        <v>1083</v>
      </c>
      <c r="B676" s="1">
        <v>44951</v>
      </c>
      <c r="C676" t="s">
        <v>22</v>
      </c>
      <c r="D676" t="s">
        <v>30</v>
      </c>
      <c r="E676">
        <v>757.99</v>
      </c>
      <c r="F676">
        <v>34</v>
      </c>
      <c r="G676" t="s">
        <v>26</v>
      </c>
      <c r="H676">
        <v>1167.9100000000001</v>
      </c>
      <c r="I676">
        <v>1547.26</v>
      </c>
      <c r="J676" t="s">
        <v>27</v>
      </c>
      <c r="K676">
        <v>0.11</v>
      </c>
      <c r="L676" t="s">
        <v>25</v>
      </c>
      <c r="M676" t="s">
        <v>19</v>
      </c>
      <c r="N676" t="str">
        <f t="shared" si="50"/>
        <v>East-David</v>
      </c>
      <c r="O676">
        <f t="shared" si="51"/>
        <v>39708.94</v>
      </c>
      <c r="P676">
        <f t="shared" si="52"/>
        <v>52606.84</v>
      </c>
      <c r="Q676">
        <f t="shared" si="53"/>
        <v>12897.899999999994</v>
      </c>
      <c r="R676">
        <f t="shared" si="54"/>
        <v>24.517534221785596</v>
      </c>
    </row>
    <row r="677" spans="1:18" x14ac:dyDescent="0.35">
      <c r="A677">
        <v>1008</v>
      </c>
      <c r="B677" s="1">
        <v>45187</v>
      </c>
      <c r="C677" t="s">
        <v>29</v>
      </c>
      <c r="D677" t="s">
        <v>23</v>
      </c>
      <c r="E677">
        <v>7688.5</v>
      </c>
      <c r="F677">
        <v>32</v>
      </c>
      <c r="G677" t="s">
        <v>24</v>
      </c>
      <c r="H677">
        <v>921.32</v>
      </c>
      <c r="I677">
        <v>1236.0999999999999</v>
      </c>
      <c r="J677" t="s">
        <v>27</v>
      </c>
      <c r="K677">
        <v>0.12</v>
      </c>
      <c r="L677" t="s">
        <v>28</v>
      </c>
      <c r="M677" t="s">
        <v>19</v>
      </c>
      <c r="N677" t="str">
        <f t="shared" si="50"/>
        <v>South-Charlie</v>
      </c>
      <c r="O677">
        <f t="shared" si="51"/>
        <v>29482.240000000002</v>
      </c>
      <c r="P677">
        <f t="shared" si="52"/>
        <v>39555.199999999997</v>
      </c>
      <c r="Q677">
        <f t="shared" si="53"/>
        <v>10072.959999999995</v>
      </c>
      <c r="R677">
        <f t="shared" si="54"/>
        <v>25.465577218671619</v>
      </c>
    </row>
    <row r="678" spans="1:18" x14ac:dyDescent="0.35">
      <c r="A678">
        <v>1065</v>
      </c>
      <c r="B678" s="1">
        <v>45152</v>
      </c>
      <c r="C678" t="s">
        <v>14</v>
      </c>
      <c r="D678" t="s">
        <v>20</v>
      </c>
      <c r="E678">
        <v>5878.76</v>
      </c>
      <c r="F678">
        <v>26</v>
      </c>
      <c r="G678" t="s">
        <v>26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21</v>
      </c>
      <c r="N678" t="str">
        <f t="shared" si="50"/>
        <v>West-Bob</v>
      </c>
      <c r="O678">
        <f t="shared" si="51"/>
        <v>112784.1</v>
      </c>
      <c r="P678">
        <f t="shared" si="52"/>
        <v>119924.73999999999</v>
      </c>
      <c r="Q678">
        <f t="shared" si="53"/>
        <v>7140.6399999999849</v>
      </c>
      <c r="R678">
        <f t="shared" si="54"/>
        <v>5.954267651528772</v>
      </c>
    </row>
    <row r="679" spans="1:18" x14ac:dyDescent="0.35">
      <c r="A679">
        <v>1086</v>
      </c>
      <c r="B679" s="1">
        <v>45050</v>
      </c>
      <c r="C679" t="s">
        <v>14</v>
      </c>
      <c r="D679" t="s">
        <v>20</v>
      </c>
      <c r="E679">
        <v>7841.4</v>
      </c>
      <c r="F679">
        <v>25</v>
      </c>
      <c r="G679" t="s">
        <v>24</v>
      </c>
      <c r="H679">
        <v>2248.71</v>
      </c>
      <c r="I679">
        <v>2626.02</v>
      </c>
      <c r="J679" t="s">
        <v>27</v>
      </c>
      <c r="K679">
        <v>0.08</v>
      </c>
      <c r="L679" t="s">
        <v>25</v>
      </c>
      <c r="M679" t="s">
        <v>19</v>
      </c>
      <c r="N679" t="str">
        <f t="shared" si="50"/>
        <v>West-Bob</v>
      </c>
      <c r="O679">
        <f t="shared" si="51"/>
        <v>56217.75</v>
      </c>
      <c r="P679">
        <f t="shared" si="52"/>
        <v>65650.5</v>
      </c>
      <c r="Q679">
        <f t="shared" si="53"/>
        <v>9432.75</v>
      </c>
      <c r="R679">
        <f t="shared" si="54"/>
        <v>14.368131240432289</v>
      </c>
    </row>
    <row r="680" spans="1:18" x14ac:dyDescent="0.35">
      <c r="A680">
        <v>1017</v>
      </c>
      <c r="B680" s="1">
        <v>44964</v>
      </c>
      <c r="C680" t="s">
        <v>29</v>
      </c>
      <c r="D680" t="s">
        <v>20</v>
      </c>
      <c r="E680">
        <v>7542.3</v>
      </c>
      <c r="F680">
        <v>2</v>
      </c>
      <c r="G680" t="s">
        <v>24</v>
      </c>
      <c r="H680">
        <v>728.41</v>
      </c>
      <c r="I680">
        <v>1094.92</v>
      </c>
      <c r="J680" t="s">
        <v>27</v>
      </c>
      <c r="K680">
        <v>0.24</v>
      </c>
      <c r="L680" t="s">
        <v>18</v>
      </c>
      <c r="M680" t="s">
        <v>21</v>
      </c>
      <c r="N680" t="str">
        <f t="shared" si="50"/>
        <v>West-Charlie</v>
      </c>
      <c r="O680">
        <f t="shared" si="51"/>
        <v>1456.82</v>
      </c>
      <c r="P680">
        <f t="shared" si="52"/>
        <v>2189.84</v>
      </c>
      <c r="Q680">
        <f t="shared" si="53"/>
        <v>733.02000000000021</v>
      </c>
      <c r="R680">
        <f t="shared" si="54"/>
        <v>33.473678442260628</v>
      </c>
    </row>
    <row r="681" spans="1:18" x14ac:dyDescent="0.35">
      <c r="A681">
        <v>1071</v>
      </c>
      <c r="B681" s="1">
        <v>45254</v>
      </c>
      <c r="C681" t="s">
        <v>33</v>
      </c>
      <c r="D681" t="s">
        <v>20</v>
      </c>
      <c r="E681">
        <v>8049.72</v>
      </c>
      <c r="F681">
        <v>12</v>
      </c>
      <c r="G681" t="s">
        <v>24</v>
      </c>
      <c r="H681">
        <v>4317.95</v>
      </c>
      <c r="I681">
        <v>4636.59</v>
      </c>
      <c r="J681" t="s">
        <v>27</v>
      </c>
      <c r="K681">
        <v>0.18</v>
      </c>
      <c r="L681" t="s">
        <v>28</v>
      </c>
      <c r="M681" t="s">
        <v>21</v>
      </c>
      <c r="N681" t="str">
        <f t="shared" si="50"/>
        <v>West-Alice</v>
      </c>
      <c r="O681">
        <f t="shared" si="51"/>
        <v>51815.399999999994</v>
      </c>
      <c r="P681">
        <f t="shared" si="52"/>
        <v>55639.08</v>
      </c>
      <c r="Q681">
        <f t="shared" si="53"/>
        <v>3823.6800000000076</v>
      </c>
      <c r="R681">
        <f t="shared" si="54"/>
        <v>6.8722919214336526</v>
      </c>
    </row>
    <row r="682" spans="1:18" x14ac:dyDescent="0.35">
      <c r="A682">
        <v>1089</v>
      </c>
      <c r="B682" s="1">
        <v>45177</v>
      </c>
      <c r="C682" t="s">
        <v>14</v>
      </c>
      <c r="D682" t="s">
        <v>20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27</v>
      </c>
      <c r="K682">
        <v>0.23</v>
      </c>
      <c r="L682" t="s">
        <v>28</v>
      </c>
      <c r="M682" t="s">
        <v>19</v>
      </c>
      <c r="N682" t="str">
        <f t="shared" si="50"/>
        <v>West-Bob</v>
      </c>
      <c r="O682">
        <f t="shared" si="51"/>
        <v>163586.4</v>
      </c>
      <c r="P682">
        <f t="shared" si="52"/>
        <v>171038.4</v>
      </c>
      <c r="Q682">
        <f t="shared" si="53"/>
        <v>7452</v>
      </c>
      <c r="R682">
        <f t="shared" si="54"/>
        <v>4.3569163415934673</v>
      </c>
    </row>
    <row r="683" spans="1:18" x14ac:dyDescent="0.35">
      <c r="A683">
        <v>1045</v>
      </c>
      <c r="B683" s="1">
        <v>45102</v>
      </c>
      <c r="C683" t="s">
        <v>32</v>
      </c>
      <c r="D683" t="s">
        <v>23</v>
      </c>
      <c r="E683">
        <v>1489.21</v>
      </c>
      <c r="F683">
        <v>9</v>
      </c>
      <c r="G683" t="s">
        <v>26</v>
      </c>
      <c r="H683">
        <v>4920.34</v>
      </c>
      <c r="I683">
        <v>5129.1899999999996</v>
      </c>
      <c r="J683" t="s">
        <v>17</v>
      </c>
      <c r="K683">
        <v>0.13</v>
      </c>
      <c r="L683" t="s">
        <v>28</v>
      </c>
      <c r="M683" t="s">
        <v>19</v>
      </c>
      <c r="N683" t="str">
        <f t="shared" si="50"/>
        <v>South-Eve</v>
      </c>
      <c r="O683">
        <f t="shared" si="51"/>
        <v>44283.06</v>
      </c>
      <c r="P683">
        <f t="shared" si="52"/>
        <v>46162.71</v>
      </c>
      <c r="Q683">
        <f t="shared" si="53"/>
        <v>1879.6500000000015</v>
      </c>
      <c r="R683">
        <f t="shared" si="54"/>
        <v>4.0717930121520194</v>
      </c>
    </row>
    <row r="684" spans="1:18" x14ac:dyDescent="0.35">
      <c r="A684">
        <v>1004</v>
      </c>
      <c r="B684" s="1">
        <v>45016</v>
      </c>
      <c r="C684" t="s">
        <v>29</v>
      </c>
      <c r="D684" t="s">
        <v>30</v>
      </c>
      <c r="E684">
        <v>6744.46</v>
      </c>
      <c r="F684">
        <v>12</v>
      </c>
      <c r="G684" t="s">
        <v>26</v>
      </c>
      <c r="H684">
        <v>4553.2299999999996</v>
      </c>
      <c r="I684">
        <v>5038.74</v>
      </c>
      <c r="J684" t="s">
        <v>27</v>
      </c>
      <c r="K684">
        <v>0.09</v>
      </c>
      <c r="L684" t="s">
        <v>28</v>
      </c>
      <c r="M684" t="s">
        <v>21</v>
      </c>
      <c r="N684" t="str">
        <f t="shared" si="50"/>
        <v>East-Charlie</v>
      </c>
      <c r="O684">
        <f t="shared" si="51"/>
        <v>54638.759999999995</v>
      </c>
      <c r="P684">
        <f t="shared" si="52"/>
        <v>60464.88</v>
      </c>
      <c r="Q684">
        <f t="shared" si="53"/>
        <v>5826.1200000000026</v>
      </c>
      <c r="R684">
        <f t="shared" si="54"/>
        <v>9.6355438065865719</v>
      </c>
    </row>
    <row r="685" spans="1:18" x14ac:dyDescent="0.35">
      <c r="A685">
        <v>1036</v>
      </c>
      <c r="B685" s="1">
        <v>44963</v>
      </c>
      <c r="C685" t="s">
        <v>29</v>
      </c>
      <c r="D685" t="s">
        <v>30</v>
      </c>
      <c r="E685">
        <v>6242.69</v>
      </c>
      <c r="F685">
        <v>26</v>
      </c>
      <c r="G685" t="s">
        <v>31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28</v>
      </c>
      <c r="M685" t="s">
        <v>21</v>
      </c>
      <c r="N685" t="str">
        <f t="shared" si="50"/>
        <v>East-Charlie</v>
      </c>
      <c r="O685">
        <f t="shared" si="51"/>
        <v>110925.35999999999</v>
      </c>
      <c r="P685">
        <f t="shared" si="52"/>
        <v>112617.17999999975</v>
      </c>
      <c r="Q685">
        <f t="shared" si="53"/>
        <v>1691.8199999997596</v>
      </c>
      <c r="R685">
        <f t="shared" si="54"/>
        <v>1.5022752301200966</v>
      </c>
    </row>
    <row r="686" spans="1:18" x14ac:dyDescent="0.35">
      <c r="A686">
        <v>1070</v>
      </c>
      <c r="B686" s="1">
        <v>45242</v>
      </c>
      <c r="C686" t="s">
        <v>14</v>
      </c>
      <c r="D686" t="s">
        <v>23</v>
      </c>
      <c r="E686">
        <v>7448.31</v>
      </c>
      <c r="F686">
        <v>9</v>
      </c>
      <c r="G686" t="s">
        <v>31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21</v>
      </c>
      <c r="N686" t="str">
        <f t="shared" si="50"/>
        <v>South-Bob</v>
      </c>
      <c r="O686">
        <f t="shared" si="51"/>
        <v>2792.16</v>
      </c>
      <c r="P686">
        <f t="shared" si="52"/>
        <v>4066.29</v>
      </c>
      <c r="Q686">
        <f t="shared" si="53"/>
        <v>1274.1300000000001</v>
      </c>
      <c r="R686">
        <f t="shared" si="54"/>
        <v>31.333967818330716</v>
      </c>
    </row>
    <row r="687" spans="1:18" x14ac:dyDescent="0.35">
      <c r="A687">
        <v>1031</v>
      </c>
      <c r="B687" s="1">
        <v>45102</v>
      </c>
      <c r="C687" t="s">
        <v>33</v>
      </c>
      <c r="D687" t="s">
        <v>20</v>
      </c>
      <c r="E687">
        <v>1781.82</v>
      </c>
      <c r="F687">
        <v>10</v>
      </c>
      <c r="G687" t="s">
        <v>31</v>
      </c>
      <c r="H687">
        <v>566.86</v>
      </c>
      <c r="I687">
        <v>818.14</v>
      </c>
      <c r="J687" t="s">
        <v>17</v>
      </c>
      <c r="K687">
        <v>0.25</v>
      </c>
      <c r="L687" t="s">
        <v>28</v>
      </c>
      <c r="M687" t="s">
        <v>21</v>
      </c>
      <c r="N687" t="str">
        <f t="shared" si="50"/>
        <v>West-Alice</v>
      </c>
      <c r="O687">
        <f t="shared" si="51"/>
        <v>5668.6</v>
      </c>
      <c r="P687">
        <f t="shared" si="52"/>
        <v>8181.4</v>
      </c>
      <c r="Q687">
        <f t="shared" si="53"/>
        <v>2512.7999999999993</v>
      </c>
      <c r="R687">
        <f t="shared" si="54"/>
        <v>30.713569804678897</v>
      </c>
    </row>
    <row r="688" spans="1:18" x14ac:dyDescent="0.35">
      <c r="A688">
        <v>1019</v>
      </c>
      <c r="B688" s="1">
        <v>45210</v>
      </c>
      <c r="C688" t="s">
        <v>32</v>
      </c>
      <c r="D688" t="s">
        <v>23</v>
      </c>
      <c r="E688">
        <v>2030.25</v>
      </c>
      <c r="F688">
        <v>32</v>
      </c>
      <c r="G688" t="s">
        <v>31</v>
      </c>
      <c r="H688">
        <v>2866.47</v>
      </c>
      <c r="I688">
        <v>3286.47</v>
      </c>
      <c r="J688" t="s">
        <v>27</v>
      </c>
      <c r="K688">
        <v>0.09</v>
      </c>
      <c r="L688" t="s">
        <v>28</v>
      </c>
      <c r="M688" t="s">
        <v>19</v>
      </c>
      <c r="N688" t="str">
        <f t="shared" si="50"/>
        <v>South-Eve</v>
      </c>
      <c r="O688">
        <f t="shared" si="51"/>
        <v>91727.039999999994</v>
      </c>
      <c r="P688">
        <f t="shared" si="52"/>
        <v>105167.03999999999</v>
      </c>
      <c r="Q688">
        <f t="shared" si="53"/>
        <v>13440</v>
      </c>
      <c r="R688">
        <f t="shared" si="54"/>
        <v>12.779669371696684</v>
      </c>
    </row>
    <row r="689" spans="1:18" x14ac:dyDescent="0.35">
      <c r="A689">
        <v>1061</v>
      </c>
      <c r="B689" s="1">
        <v>45007</v>
      </c>
      <c r="C689" t="s">
        <v>33</v>
      </c>
      <c r="D689" t="s">
        <v>30</v>
      </c>
      <c r="E689">
        <v>8915.0499999999993</v>
      </c>
      <c r="F689">
        <v>34</v>
      </c>
      <c r="G689" t="s">
        <v>26</v>
      </c>
      <c r="H689">
        <v>2680.82</v>
      </c>
      <c r="I689">
        <v>2771.02</v>
      </c>
      <c r="J689" t="s">
        <v>27</v>
      </c>
      <c r="K689">
        <v>0.2</v>
      </c>
      <c r="L689" t="s">
        <v>25</v>
      </c>
      <c r="M689" t="s">
        <v>19</v>
      </c>
      <c r="N689" t="str">
        <f t="shared" si="50"/>
        <v>East-Alice</v>
      </c>
      <c r="O689">
        <f t="shared" si="51"/>
        <v>91147.88</v>
      </c>
      <c r="P689">
        <f t="shared" si="52"/>
        <v>94214.68</v>
      </c>
      <c r="Q689">
        <f t="shared" si="53"/>
        <v>3066.7999999999884</v>
      </c>
      <c r="R689">
        <f t="shared" si="54"/>
        <v>3.2551190536336678</v>
      </c>
    </row>
    <row r="690" spans="1:18" x14ac:dyDescent="0.35">
      <c r="A690">
        <v>1054</v>
      </c>
      <c r="B690" s="1">
        <v>45040</v>
      </c>
      <c r="C690" t="s">
        <v>22</v>
      </c>
      <c r="D690" t="s">
        <v>15</v>
      </c>
      <c r="E690">
        <v>7524.78</v>
      </c>
      <c r="F690">
        <v>48</v>
      </c>
      <c r="G690" t="s">
        <v>24</v>
      </c>
      <c r="H690">
        <v>2316.92</v>
      </c>
      <c r="I690">
        <v>2462.63</v>
      </c>
      <c r="J690" t="s">
        <v>27</v>
      </c>
      <c r="K690">
        <v>0.04</v>
      </c>
      <c r="L690" t="s">
        <v>28</v>
      </c>
      <c r="M690" t="s">
        <v>19</v>
      </c>
      <c r="N690" t="str">
        <f t="shared" si="50"/>
        <v>North-David</v>
      </c>
      <c r="O690">
        <f t="shared" si="51"/>
        <v>111212.16</v>
      </c>
      <c r="P690">
        <f t="shared" si="52"/>
        <v>118206.24</v>
      </c>
      <c r="Q690">
        <f t="shared" si="53"/>
        <v>6994.0800000000017</v>
      </c>
      <c r="R690">
        <f t="shared" si="54"/>
        <v>5.916844999045737</v>
      </c>
    </row>
    <row r="691" spans="1:18" x14ac:dyDescent="0.35">
      <c r="A691">
        <v>1039</v>
      </c>
      <c r="B691" s="1">
        <v>44966</v>
      </c>
      <c r="C691" t="s">
        <v>22</v>
      </c>
      <c r="D691" t="s">
        <v>23</v>
      </c>
      <c r="E691">
        <v>9091.4599999999991</v>
      </c>
      <c r="F691">
        <v>20</v>
      </c>
      <c r="G691" t="s">
        <v>24</v>
      </c>
      <c r="H691">
        <v>2014.11</v>
      </c>
      <c r="I691">
        <v>2056.35</v>
      </c>
      <c r="J691" t="s">
        <v>17</v>
      </c>
      <c r="K691">
        <v>0.21</v>
      </c>
      <c r="L691" t="s">
        <v>25</v>
      </c>
      <c r="M691" t="s">
        <v>21</v>
      </c>
      <c r="N691" t="str">
        <f t="shared" si="50"/>
        <v>South-David</v>
      </c>
      <c r="O691">
        <f t="shared" si="51"/>
        <v>40282.199999999997</v>
      </c>
      <c r="P691">
        <f t="shared" si="52"/>
        <v>41127</v>
      </c>
      <c r="Q691">
        <f t="shared" si="53"/>
        <v>844.80000000000291</v>
      </c>
      <c r="R691">
        <f t="shared" si="54"/>
        <v>2.0541250273542997</v>
      </c>
    </row>
    <row r="692" spans="1:18" x14ac:dyDescent="0.35">
      <c r="A692">
        <v>1091</v>
      </c>
      <c r="B692" s="1">
        <v>45227</v>
      </c>
      <c r="C692" t="s">
        <v>14</v>
      </c>
      <c r="D692" t="s">
        <v>20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25</v>
      </c>
      <c r="M692" t="s">
        <v>19</v>
      </c>
      <c r="N692" t="str">
        <f t="shared" si="50"/>
        <v>West-Bob</v>
      </c>
      <c r="O692">
        <f t="shared" si="51"/>
        <v>85195.109999999986</v>
      </c>
      <c r="P692">
        <f t="shared" si="52"/>
        <v>99076.379999999612</v>
      </c>
      <c r="Q692">
        <f t="shared" si="53"/>
        <v>13881.269999999626</v>
      </c>
      <c r="R692">
        <f t="shared" si="54"/>
        <v>14.010675400130365</v>
      </c>
    </row>
    <row r="693" spans="1:18" x14ac:dyDescent="0.35">
      <c r="A693">
        <v>1074</v>
      </c>
      <c r="B693" s="1">
        <v>45150</v>
      </c>
      <c r="C693" t="s">
        <v>14</v>
      </c>
      <c r="D693" t="s">
        <v>30</v>
      </c>
      <c r="E693">
        <v>6011.84</v>
      </c>
      <c r="F693">
        <v>2</v>
      </c>
      <c r="G693" t="s">
        <v>24</v>
      </c>
      <c r="H693">
        <v>2868.02</v>
      </c>
      <c r="I693">
        <v>2994.74</v>
      </c>
      <c r="J693" t="s">
        <v>17</v>
      </c>
      <c r="K693">
        <v>0.18</v>
      </c>
      <c r="L693" t="s">
        <v>25</v>
      </c>
      <c r="M693" t="s">
        <v>19</v>
      </c>
      <c r="N693" t="str">
        <f t="shared" si="50"/>
        <v>East-Bob</v>
      </c>
      <c r="O693">
        <f t="shared" si="51"/>
        <v>5736.04</v>
      </c>
      <c r="P693">
        <f t="shared" si="52"/>
        <v>5989.48</v>
      </c>
      <c r="Q693">
        <f t="shared" si="53"/>
        <v>253.4399999999996</v>
      </c>
      <c r="R693">
        <f t="shared" si="54"/>
        <v>4.2314190881345226</v>
      </c>
    </row>
    <row r="694" spans="1:18" x14ac:dyDescent="0.35">
      <c r="A694">
        <v>1090</v>
      </c>
      <c r="B694" s="1">
        <v>45244</v>
      </c>
      <c r="C694" t="s">
        <v>14</v>
      </c>
      <c r="D694" t="s">
        <v>30</v>
      </c>
      <c r="E694">
        <v>6575.91</v>
      </c>
      <c r="F694">
        <v>1</v>
      </c>
      <c r="G694" t="s">
        <v>26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tr">
        <f t="shared" si="50"/>
        <v>East-Bob</v>
      </c>
      <c r="O694">
        <f t="shared" si="51"/>
        <v>60.28</v>
      </c>
      <c r="P694">
        <f t="shared" si="52"/>
        <v>260.73</v>
      </c>
      <c r="Q694">
        <f t="shared" si="53"/>
        <v>200.45000000000002</v>
      </c>
      <c r="R694">
        <f t="shared" si="54"/>
        <v>76.880297625896517</v>
      </c>
    </row>
    <row r="695" spans="1:18" x14ac:dyDescent="0.35">
      <c r="A695">
        <v>1019</v>
      </c>
      <c r="B695" s="1">
        <v>45275</v>
      </c>
      <c r="C695" t="s">
        <v>22</v>
      </c>
      <c r="D695" t="s">
        <v>30</v>
      </c>
      <c r="E695">
        <v>8902.3700000000008</v>
      </c>
      <c r="F695">
        <v>36</v>
      </c>
      <c r="G695" t="s">
        <v>26</v>
      </c>
      <c r="H695">
        <v>1340.51</v>
      </c>
      <c r="I695">
        <v>1567.92</v>
      </c>
      <c r="J695" t="s">
        <v>27</v>
      </c>
      <c r="K695">
        <v>0.28999999999999998</v>
      </c>
      <c r="L695" t="s">
        <v>18</v>
      </c>
      <c r="M695" t="s">
        <v>19</v>
      </c>
      <c r="N695" t="str">
        <f t="shared" si="50"/>
        <v>East-David</v>
      </c>
      <c r="O695">
        <f t="shared" si="51"/>
        <v>48258.36</v>
      </c>
      <c r="P695">
        <f t="shared" si="52"/>
        <v>56445.120000000003</v>
      </c>
      <c r="Q695">
        <f t="shared" si="53"/>
        <v>8186.760000000002</v>
      </c>
      <c r="R695">
        <f t="shared" si="54"/>
        <v>14.503928771876119</v>
      </c>
    </row>
    <row r="696" spans="1:18" x14ac:dyDescent="0.35">
      <c r="A696">
        <v>1039</v>
      </c>
      <c r="B696" s="1">
        <v>45041</v>
      </c>
      <c r="C696" t="s">
        <v>33</v>
      </c>
      <c r="D696" t="s">
        <v>30</v>
      </c>
      <c r="E696">
        <v>5830.19</v>
      </c>
      <c r="F696">
        <v>24</v>
      </c>
      <c r="G696" t="s">
        <v>26</v>
      </c>
      <c r="H696">
        <v>2615.48</v>
      </c>
      <c r="I696">
        <v>3062.22</v>
      </c>
      <c r="J696" t="s">
        <v>27</v>
      </c>
      <c r="K696">
        <v>0.19</v>
      </c>
      <c r="L696" t="s">
        <v>25</v>
      </c>
      <c r="M696" t="s">
        <v>21</v>
      </c>
      <c r="N696" t="str">
        <f t="shared" si="50"/>
        <v>East-Alice</v>
      </c>
      <c r="O696">
        <f t="shared" si="51"/>
        <v>62771.520000000004</v>
      </c>
      <c r="P696">
        <f t="shared" si="52"/>
        <v>73493.279999999999</v>
      </c>
      <c r="Q696">
        <f t="shared" si="53"/>
        <v>10721.759999999995</v>
      </c>
      <c r="R696">
        <f t="shared" si="54"/>
        <v>14.588762401133812</v>
      </c>
    </row>
    <row r="697" spans="1:18" x14ac:dyDescent="0.35">
      <c r="A697">
        <v>1067</v>
      </c>
      <c r="B697" s="1">
        <v>45112</v>
      </c>
      <c r="C697" t="s">
        <v>33</v>
      </c>
      <c r="D697" t="s">
        <v>20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27</v>
      </c>
      <c r="K697">
        <v>0.08</v>
      </c>
      <c r="L697" t="s">
        <v>18</v>
      </c>
      <c r="M697" t="s">
        <v>19</v>
      </c>
      <c r="N697" t="str">
        <f t="shared" si="50"/>
        <v>West-Alice</v>
      </c>
      <c r="O697">
        <f t="shared" si="51"/>
        <v>97874.189999999988</v>
      </c>
      <c r="P697">
        <f t="shared" si="52"/>
        <v>103586.04</v>
      </c>
      <c r="Q697">
        <f t="shared" si="53"/>
        <v>5711.8500000000058</v>
      </c>
      <c r="R697">
        <f t="shared" si="54"/>
        <v>5.5141117471041525</v>
      </c>
    </row>
    <row r="698" spans="1:18" x14ac:dyDescent="0.3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31</v>
      </c>
      <c r="H698">
        <v>912.08</v>
      </c>
      <c r="I698">
        <v>993.24</v>
      </c>
      <c r="J698" t="s">
        <v>17</v>
      </c>
      <c r="K698">
        <v>0.09</v>
      </c>
      <c r="L698" t="s">
        <v>28</v>
      </c>
      <c r="M698" t="s">
        <v>19</v>
      </c>
      <c r="N698" t="str">
        <f t="shared" si="50"/>
        <v>North-Bob</v>
      </c>
      <c r="O698">
        <f t="shared" si="51"/>
        <v>1824.16</v>
      </c>
      <c r="P698">
        <f t="shared" si="52"/>
        <v>1986.48</v>
      </c>
      <c r="Q698">
        <f t="shared" si="53"/>
        <v>162.31999999999994</v>
      </c>
      <c r="R698">
        <f t="shared" si="54"/>
        <v>8.1712375659457912</v>
      </c>
    </row>
    <row r="699" spans="1:18" x14ac:dyDescent="0.35">
      <c r="A699">
        <v>1013</v>
      </c>
      <c r="B699" s="1">
        <v>44982</v>
      </c>
      <c r="C699" t="s">
        <v>32</v>
      </c>
      <c r="D699" t="s">
        <v>30</v>
      </c>
      <c r="E699">
        <v>4791.82</v>
      </c>
      <c r="F699">
        <v>31</v>
      </c>
      <c r="G699" t="s">
        <v>24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tr">
        <f t="shared" si="50"/>
        <v>East-Eve</v>
      </c>
      <c r="O699">
        <f t="shared" si="51"/>
        <v>85468.86</v>
      </c>
      <c r="P699">
        <f t="shared" si="52"/>
        <v>93743.069999999992</v>
      </c>
      <c r="Q699">
        <f t="shared" si="53"/>
        <v>8274.2099999999919</v>
      </c>
      <c r="R699">
        <f t="shared" si="54"/>
        <v>8.8264764531394082</v>
      </c>
    </row>
    <row r="700" spans="1:18" x14ac:dyDescent="0.35">
      <c r="A700">
        <v>1092</v>
      </c>
      <c r="B700" s="1">
        <v>44966</v>
      </c>
      <c r="C700" t="s">
        <v>33</v>
      </c>
      <c r="D700" t="s">
        <v>23</v>
      </c>
      <c r="E700">
        <v>7192.33</v>
      </c>
      <c r="F700">
        <v>14</v>
      </c>
      <c r="G700" t="s">
        <v>26</v>
      </c>
      <c r="H700">
        <v>3586.58</v>
      </c>
      <c r="I700">
        <v>4068.43</v>
      </c>
      <c r="J700" t="s">
        <v>27</v>
      </c>
      <c r="K700">
        <v>0.22</v>
      </c>
      <c r="L700" t="s">
        <v>28</v>
      </c>
      <c r="M700" t="s">
        <v>19</v>
      </c>
      <c r="N700" t="str">
        <f t="shared" si="50"/>
        <v>South-Alice</v>
      </c>
      <c r="O700">
        <f t="shared" si="51"/>
        <v>50212.119999999995</v>
      </c>
      <c r="P700">
        <f t="shared" si="52"/>
        <v>56958.02</v>
      </c>
      <c r="Q700">
        <f t="shared" si="53"/>
        <v>6745.9000000000015</v>
      </c>
      <c r="R700">
        <f t="shared" si="54"/>
        <v>11.843635013998032</v>
      </c>
    </row>
    <row r="701" spans="1:18" x14ac:dyDescent="0.35">
      <c r="A701">
        <v>1058</v>
      </c>
      <c r="B701" s="1">
        <v>45280</v>
      </c>
      <c r="C701" t="s">
        <v>22</v>
      </c>
      <c r="D701" t="s">
        <v>15</v>
      </c>
      <c r="E701">
        <v>2782.33</v>
      </c>
      <c r="F701">
        <v>2</v>
      </c>
      <c r="G701" t="s">
        <v>26</v>
      </c>
      <c r="H701">
        <v>2250.91</v>
      </c>
      <c r="I701">
        <v>2558.6799999999998</v>
      </c>
      <c r="J701" t="s">
        <v>27</v>
      </c>
      <c r="K701">
        <v>0.09</v>
      </c>
      <c r="L701" t="s">
        <v>28</v>
      </c>
      <c r="M701" t="s">
        <v>21</v>
      </c>
      <c r="N701" t="str">
        <f t="shared" si="50"/>
        <v>North-David</v>
      </c>
      <c r="O701">
        <f t="shared" si="51"/>
        <v>4501.82</v>
      </c>
      <c r="P701">
        <f t="shared" si="52"/>
        <v>5117.3599999999997</v>
      </c>
      <c r="Q701">
        <f t="shared" si="53"/>
        <v>615.54</v>
      </c>
      <c r="R701">
        <f t="shared" si="54"/>
        <v>12.028467803711289</v>
      </c>
    </row>
    <row r="702" spans="1:18" x14ac:dyDescent="0.35">
      <c r="A702">
        <v>1020</v>
      </c>
      <c r="B702" s="1">
        <v>44966</v>
      </c>
      <c r="C702" t="s">
        <v>29</v>
      </c>
      <c r="D702" t="s">
        <v>30</v>
      </c>
      <c r="E702">
        <v>2102.3200000000002</v>
      </c>
      <c r="F702">
        <v>29</v>
      </c>
      <c r="G702" t="s">
        <v>31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21</v>
      </c>
      <c r="N702" t="str">
        <f t="shared" si="50"/>
        <v>East-Charlie</v>
      </c>
      <c r="O702">
        <f t="shared" si="51"/>
        <v>5337.4500000000007</v>
      </c>
      <c r="P702">
        <f t="shared" si="52"/>
        <v>19601.39</v>
      </c>
      <c r="Q702">
        <f t="shared" si="53"/>
        <v>14263.939999999999</v>
      </c>
      <c r="R702">
        <f t="shared" si="54"/>
        <v>72.770043348966567</v>
      </c>
    </row>
    <row r="703" spans="1:18" x14ac:dyDescent="0.35">
      <c r="A703">
        <v>1092</v>
      </c>
      <c r="B703" s="1">
        <v>45273</v>
      </c>
      <c r="C703" t="s">
        <v>29</v>
      </c>
      <c r="D703" t="s">
        <v>15</v>
      </c>
      <c r="E703">
        <v>3206.89</v>
      </c>
      <c r="F703">
        <v>15</v>
      </c>
      <c r="G703" t="s">
        <v>26</v>
      </c>
      <c r="H703">
        <v>2273.88</v>
      </c>
      <c r="I703">
        <v>2696.02</v>
      </c>
      <c r="J703" t="s">
        <v>27</v>
      </c>
      <c r="K703">
        <v>0.3</v>
      </c>
      <c r="L703" t="s">
        <v>18</v>
      </c>
      <c r="M703" t="s">
        <v>19</v>
      </c>
      <c r="N703" t="str">
        <f t="shared" si="50"/>
        <v>North-Charlie</v>
      </c>
      <c r="O703">
        <f t="shared" si="51"/>
        <v>34108.200000000004</v>
      </c>
      <c r="P703">
        <f t="shared" si="52"/>
        <v>40440.300000000003</v>
      </c>
      <c r="Q703">
        <f t="shared" si="53"/>
        <v>6332.0999999999985</v>
      </c>
      <c r="R703">
        <f t="shared" si="54"/>
        <v>15.65789571293981</v>
      </c>
    </row>
    <row r="704" spans="1:18" x14ac:dyDescent="0.35">
      <c r="A704">
        <v>1072</v>
      </c>
      <c r="B704" s="1">
        <v>45163</v>
      </c>
      <c r="C704" t="s">
        <v>29</v>
      </c>
      <c r="D704" t="s">
        <v>23</v>
      </c>
      <c r="E704">
        <v>2490.86</v>
      </c>
      <c r="F704">
        <v>12</v>
      </c>
      <c r="G704" t="s">
        <v>24</v>
      </c>
      <c r="H704">
        <v>1517.4</v>
      </c>
      <c r="I704">
        <v>1545.02</v>
      </c>
      <c r="J704" t="s">
        <v>27</v>
      </c>
      <c r="K704">
        <v>0.03</v>
      </c>
      <c r="L704" t="s">
        <v>25</v>
      </c>
      <c r="M704" t="s">
        <v>21</v>
      </c>
      <c r="N704" t="str">
        <f t="shared" si="50"/>
        <v>South-Charlie</v>
      </c>
      <c r="O704">
        <f t="shared" si="51"/>
        <v>18208.800000000003</v>
      </c>
      <c r="P704">
        <f t="shared" si="52"/>
        <v>18540.239999999998</v>
      </c>
      <c r="Q704">
        <f t="shared" si="53"/>
        <v>331.43999999999505</v>
      </c>
      <c r="R704">
        <f t="shared" si="54"/>
        <v>1.7876791238948098</v>
      </c>
    </row>
    <row r="705" spans="1:18" x14ac:dyDescent="0.35">
      <c r="A705">
        <v>1061</v>
      </c>
      <c r="B705" s="1">
        <v>45215</v>
      </c>
      <c r="C705" t="s">
        <v>32</v>
      </c>
      <c r="D705" t="s">
        <v>30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21</v>
      </c>
      <c r="N705" t="str">
        <f t="shared" si="50"/>
        <v>East-Eve</v>
      </c>
      <c r="O705">
        <f t="shared" si="51"/>
        <v>172115.49000000002</v>
      </c>
      <c r="P705">
        <f t="shared" si="52"/>
        <v>184422.43000000002</v>
      </c>
      <c r="Q705">
        <f t="shared" si="53"/>
        <v>12306.940000000002</v>
      </c>
      <c r="R705">
        <f t="shared" si="54"/>
        <v>6.673233836036105</v>
      </c>
    </row>
    <row r="706" spans="1:18" x14ac:dyDescent="0.35">
      <c r="A706">
        <v>1039</v>
      </c>
      <c r="B706" s="1">
        <v>45188</v>
      </c>
      <c r="C706" t="s">
        <v>14</v>
      </c>
      <c r="D706" t="s">
        <v>23</v>
      </c>
      <c r="E706">
        <v>4306.0200000000004</v>
      </c>
      <c r="F706">
        <v>28</v>
      </c>
      <c r="G706" t="s">
        <v>26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21</v>
      </c>
      <c r="N706" t="str">
        <f t="shared" si="50"/>
        <v>South-Bob</v>
      </c>
      <c r="O706">
        <f t="shared" si="51"/>
        <v>18671.52</v>
      </c>
      <c r="P706">
        <f t="shared" si="52"/>
        <v>22886.080000000002</v>
      </c>
      <c r="Q706">
        <f t="shared" si="53"/>
        <v>4214.5600000000013</v>
      </c>
      <c r="R706">
        <f t="shared" si="54"/>
        <v>18.415386121170602</v>
      </c>
    </row>
    <row r="707" spans="1:18" x14ac:dyDescent="0.35">
      <c r="A707">
        <v>1001</v>
      </c>
      <c r="B707" s="1">
        <v>45142</v>
      </c>
      <c r="C707" t="s">
        <v>22</v>
      </c>
      <c r="D707" t="s">
        <v>20</v>
      </c>
      <c r="E707">
        <v>9087.6</v>
      </c>
      <c r="F707">
        <v>20</v>
      </c>
      <c r="G707" t="s">
        <v>24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21</v>
      </c>
      <c r="N707" t="str">
        <f t="shared" ref="N707:N770" si="55">D707 &amp; "-" &amp; C707</f>
        <v>West-David</v>
      </c>
      <c r="O707">
        <f t="shared" ref="O707:O770" si="56">F707*H707</f>
        <v>65595.200000000012</v>
      </c>
      <c r="P707">
        <f t="shared" ref="P707:P770" si="57">F707*I707</f>
        <v>71279.399999999994</v>
      </c>
      <c r="Q707">
        <f t="shared" ref="Q707:Q770" si="58">P707-O707</f>
        <v>5684.1999999999825</v>
      </c>
      <c r="R707">
        <f t="shared" ref="R707:R770" si="59">(Q707/P707)*100</f>
        <v>7.9745340168407468</v>
      </c>
    </row>
    <row r="708" spans="1:18" x14ac:dyDescent="0.35">
      <c r="A708">
        <v>1003</v>
      </c>
      <c r="B708" s="1">
        <v>45073</v>
      </c>
      <c r="C708" t="s">
        <v>32</v>
      </c>
      <c r="D708" t="s">
        <v>30</v>
      </c>
      <c r="E708">
        <v>5119.8900000000003</v>
      </c>
      <c r="F708">
        <v>39</v>
      </c>
      <c r="G708" t="s">
        <v>26</v>
      </c>
      <c r="H708">
        <v>310.95999999999998</v>
      </c>
      <c r="I708">
        <v>457.84</v>
      </c>
      <c r="J708" t="s">
        <v>27</v>
      </c>
      <c r="K708">
        <v>0.03</v>
      </c>
      <c r="L708" t="s">
        <v>28</v>
      </c>
      <c r="M708" t="s">
        <v>19</v>
      </c>
      <c r="N708" t="str">
        <f t="shared" si="55"/>
        <v>East-Eve</v>
      </c>
      <c r="O708">
        <f t="shared" si="56"/>
        <v>12127.439999999999</v>
      </c>
      <c r="P708">
        <f t="shared" si="57"/>
        <v>17855.759999999998</v>
      </c>
      <c r="Q708">
        <f t="shared" si="58"/>
        <v>5728.32</v>
      </c>
      <c r="R708">
        <f t="shared" si="59"/>
        <v>32.081076358553204</v>
      </c>
    </row>
    <row r="709" spans="1:18" x14ac:dyDescent="0.35">
      <c r="A709">
        <v>1077</v>
      </c>
      <c r="B709" s="1">
        <v>45262</v>
      </c>
      <c r="C709" t="s">
        <v>22</v>
      </c>
      <c r="D709" t="s">
        <v>30</v>
      </c>
      <c r="E709">
        <v>1960.41</v>
      </c>
      <c r="F709">
        <v>24</v>
      </c>
      <c r="G709" t="s">
        <v>31</v>
      </c>
      <c r="H709">
        <v>2258.54</v>
      </c>
      <c r="I709">
        <v>2439.4899999999998</v>
      </c>
      <c r="J709" t="s">
        <v>17</v>
      </c>
      <c r="K709">
        <v>0.2</v>
      </c>
      <c r="L709" t="s">
        <v>28</v>
      </c>
      <c r="M709" t="s">
        <v>21</v>
      </c>
      <c r="N709" t="str">
        <f t="shared" si="55"/>
        <v>East-David</v>
      </c>
      <c r="O709">
        <f t="shared" si="56"/>
        <v>54204.959999999999</v>
      </c>
      <c r="P709">
        <f t="shared" si="57"/>
        <v>58547.759999999995</v>
      </c>
      <c r="Q709">
        <f t="shared" si="58"/>
        <v>4342.7999999999956</v>
      </c>
      <c r="R709">
        <f t="shared" si="59"/>
        <v>7.4175339927607746</v>
      </c>
    </row>
    <row r="710" spans="1:18" x14ac:dyDescent="0.35">
      <c r="A710">
        <v>1092</v>
      </c>
      <c r="B710" s="1">
        <v>45094</v>
      </c>
      <c r="C710" t="s">
        <v>22</v>
      </c>
      <c r="D710" t="s">
        <v>30</v>
      </c>
      <c r="E710">
        <v>862.02</v>
      </c>
      <c r="F710">
        <v>21</v>
      </c>
      <c r="G710" t="s">
        <v>26</v>
      </c>
      <c r="H710">
        <v>2792.2</v>
      </c>
      <c r="I710">
        <v>3254.5499999999902</v>
      </c>
      <c r="J710" t="s">
        <v>27</v>
      </c>
      <c r="K710">
        <v>0.02</v>
      </c>
      <c r="L710" t="s">
        <v>28</v>
      </c>
      <c r="M710" t="s">
        <v>21</v>
      </c>
      <c r="N710" t="str">
        <f t="shared" si="55"/>
        <v>East-David</v>
      </c>
      <c r="O710">
        <f t="shared" si="56"/>
        <v>58636.2</v>
      </c>
      <c r="P710">
        <f t="shared" si="57"/>
        <v>68345.549999999799</v>
      </c>
      <c r="Q710">
        <f t="shared" si="58"/>
        <v>9709.3499999998021</v>
      </c>
      <c r="R710">
        <f t="shared" si="59"/>
        <v>14.206265075048529</v>
      </c>
    </row>
    <row r="711" spans="1:18" x14ac:dyDescent="0.35">
      <c r="A711">
        <v>1062</v>
      </c>
      <c r="B711" s="1">
        <v>45018</v>
      </c>
      <c r="C711" t="s">
        <v>14</v>
      </c>
      <c r="D711" t="s">
        <v>30</v>
      </c>
      <c r="E711">
        <v>6991.95</v>
      </c>
      <c r="F711">
        <v>10</v>
      </c>
      <c r="G711" t="s">
        <v>26</v>
      </c>
      <c r="H711">
        <v>1524.88</v>
      </c>
      <c r="I711">
        <v>1636.14</v>
      </c>
      <c r="J711" t="s">
        <v>27</v>
      </c>
      <c r="K711">
        <v>0.2</v>
      </c>
      <c r="L711" t="s">
        <v>25</v>
      </c>
      <c r="M711" t="s">
        <v>19</v>
      </c>
      <c r="N711" t="str">
        <f t="shared" si="55"/>
        <v>East-Bob</v>
      </c>
      <c r="O711">
        <f t="shared" si="56"/>
        <v>15248.800000000001</v>
      </c>
      <c r="P711">
        <f t="shared" si="57"/>
        <v>16361.400000000001</v>
      </c>
      <c r="Q711">
        <f t="shared" si="58"/>
        <v>1112.6000000000004</v>
      </c>
      <c r="R711">
        <f t="shared" si="59"/>
        <v>6.8001515762709808</v>
      </c>
    </row>
    <row r="712" spans="1:18" x14ac:dyDescent="0.35">
      <c r="A712">
        <v>1063</v>
      </c>
      <c r="B712" s="1">
        <v>45279</v>
      </c>
      <c r="C712" t="s">
        <v>29</v>
      </c>
      <c r="D712" t="s">
        <v>20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25</v>
      </c>
      <c r="M712" t="s">
        <v>19</v>
      </c>
      <c r="N712" t="str">
        <f t="shared" si="55"/>
        <v>West-Charlie</v>
      </c>
      <c r="O712">
        <f t="shared" si="56"/>
        <v>105920.51999999999</v>
      </c>
      <c r="P712">
        <f t="shared" si="57"/>
        <v>126082.78</v>
      </c>
      <c r="Q712">
        <f t="shared" si="58"/>
        <v>20162.260000000009</v>
      </c>
      <c r="R712">
        <f t="shared" si="59"/>
        <v>15.991287628651596</v>
      </c>
    </row>
    <row r="713" spans="1:18" x14ac:dyDescent="0.35">
      <c r="A713">
        <v>1025</v>
      </c>
      <c r="B713" s="1">
        <v>44985</v>
      </c>
      <c r="C713" t="s">
        <v>14</v>
      </c>
      <c r="D713" t="s">
        <v>30</v>
      </c>
      <c r="E713">
        <v>8236.1299999999992</v>
      </c>
      <c r="F713">
        <v>14</v>
      </c>
      <c r="G713" t="s">
        <v>31</v>
      </c>
      <c r="H713">
        <v>859.59</v>
      </c>
      <c r="I713">
        <v>884.51</v>
      </c>
      <c r="J713" t="s">
        <v>27</v>
      </c>
      <c r="K713">
        <v>0.12</v>
      </c>
      <c r="L713" t="s">
        <v>25</v>
      </c>
      <c r="M713" t="s">
        <v>19</v>
      </c>
      <c r="N713" t="str">
        <f t="shared" si="55"/>
        <v>East-Bob</v>
      </c>
      <c r="O713">
        <f t="shared" si="56"/>
        <v>12034.26</v>
      </c>
      <c r="P713">
        <f t="shared" si="57"/>
        <v>12383.14</v>
      </c>
      <c r="Q713">
        <f t="shared" si="58"/>
        <v>348.8799999999992</v>
      </c>
      <c r="R713">
        <f t="shared" si="59"/>
        <v>2.8173791138596447</v>
      </c>
    </row>
    <row r="714" spans="1:18" x14ac:dyDescent="0.35">
      <c r="A714">
        <v>1056</v>
      </c>
      <c r="B714" s="1">
        <v>44985</v>
      </c>
      <c r="C714" t="s">
        <v>32</v>
      </c>
      <c r="D714" t="s">
        <v>15</v>
      </c>
      <c r="E714">
        <v>6629.16</v>
      </c>
      <c r="F714">
        <v>37</v>
      </c>
      <c r="G714" t="s">
        <v>31</v>
      </c>
      <c r="H714">
        <v>1555.41</v>
      </c>
      <c r="I714">
        <v>1609.94</v>
      </c>
      <c r="J714" t="s">
        <v>17</v>
      </c>
      <c r="K714">
        <v>0.16</v>
      </c>
      <c r="L714" t="s">
        <v>28</v>
      </c>
      <c r="M714" t="s">
        <v>19</v>
      </c>
      <c r="N714" t="str">
        <f t="shared" si="55"/>
        <v>North-Eve</v>
      </c>
      <c r="O714">
        <f t="shared" si="56"/>
        <v>57550.170000000006</v>
      </c>
      <c r="P714">
        <f t="shared" si="57"/>
        <v>59567.78</v>
      </c>
      <c r="Q714">
        <f t="shared" si="58"/>
        <v>2017.6099999999933</v>
      </c>
      <c r="R714">
        <f t="shared" si="59"/>
        <v>3.3870827484253963</v>
      </c>
    </row>
    <row r="715" spans="1:18" x14ac:dyDescent="0.35">
      <c r="A715">
        <v>1033</v>
      </c>
      <c r="B715" s="1">
        <v>45230</v>
      </c>
      <c r="C715" t="s">
        <v>32</v>
      </c>
      <c r="D715" t="s">
        <v>30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21</v>
      </c>
      <c r="N715" t="str">
        <f t="shared" si="55"/>
        <v>East-Eve</v>
      </c>
      <c r="O715">
        <f t="shared" si="56"/>
        <v>56240.639999999999</v>
      </c>
      <c r="P715">
        <f t="shared" si="57"/>
        <v>63958.86</v>
      </c>
      <c r="Q715">
        <f t="shared" si="58"/>
        <v>7718.2200000000012</v>
      </c>
      <c r="R715">
        <f t="shared" si="59"/>
        <v>12.067475874335473</v>
      </c>
    </row>
    <row r="716" spans="1:18" x14ac:dyDescent="0.35">
      <c r="A716">
        <v>1038</v>
      </c>
      <c r="B716" s="1">
        <v>45095</v>
      </c>
      <c r="C716" t="s">
        <v>32</v>
      </c>
      <c r="D716" t="s">
        <v>20</v>
      </c>
      <c r="E716">
        <v>2792.27</v>
      </c>
      <c r="F716">
        <v>24</v>
      </c>
      <c r="G716" t="s">
        <v>26</v>
      </c>
      <c r="H716">
        <v>1543.91</v>
      </c>
      <c r="I716">
        <v>1862.88</v>
      </c>
      <c r="J716" t="s">
        <v>27</v>
      </c>
      <c r="K716">
        <v>0.09</v>
      </c>
      <c r="L716" t="s">
        <v>25</v>
      </c>
      <c r="M716" t="s">
        <v>19</v>
      </c>
      <c r="N716" t="str">
        <f t="shared" si="55"/>
        <v>West-Eve</v>
      </c>
      <c r="O716">
        <f t="shared" si="56"/>
        <v>37053.840000000004</v>
      </c>
      <c r="P716">
        <f t="shared" si="57"/>
        <v>44709.120000000003</v>
      </c>
      <c r="Q716">
        <f t="shared" si="58"/>
        <v>7655.2799999999988</v>
      </c>
      <c r="R716">
        <f t="shared" si="59"/>
        <v>17.122412608434249</v>
      </c>
    </row>
    <row r="717" spans="1:18" x14ac:dyDescent="0.35">
      <c r="A717">
        <v>1006</v>
      </c>
      <c r="B717" s="1">
        <v>45195</v>
      </c>
      <c r="C717" t="s">
        <v>14</v>
      </c>
      <c r="D717" t="s">
        <v>30</v>
      </c>
      <c r="E717">
        <v>6954.35</v>
      </c>
      <c r="F717">
        <v>14</v>
      </c>
      <c r="G717" t="s">
        <v>24</v>
      </c>
      <c r="H717">
        <v>4503.7299999999996</v>
      </c>
      <c r="I717">
        <v>4879.8799999999901</v>
      </c>
      <c r="J717" t="s">
        <v>27</v>
      </c>
      <c r="K717">
        <v>0.24</v>
      </c>
      <c r="L717" t="s">
        <v>25</v>
      </c>
      <c r="M717" t="s">
        <v>21</v>
      </c>
      <c r="N717" t="str">
        <f t="shared" si="55"/>
        <v>East-Bob</v>
      </c>
      <c r="O717">
        <f t="shared" si="56"/>
        <v>63052.219999999994</v>
      </c>
      <c r="P717">
        <f t="shared" si="57"/>
        <v>68318.319999999861</v>
      </c>
      <c r="Q717">
        <f t="shared" si="58"/>
        <v>5266.0999999998676</v>
      </c>
      <c r="R717">
        <f t="shared" si="59"/>
        <v>7.7081813487215118</v>
      </c>
    </row>
    <row r="718" spans="1:18" x14ac:dyDescent="0.35">
      <c r="A718">
        <v>1058</v>
      </c>
      <c r="B718" s="1">
        <v>45289</v>
      </c>
      <c r="C718" t="s">
        <v>22</v>
      </c>
      <c r="D718" t="s">
        <v>15</v>
      </c>
      <c r="E718">
        <v>2714.21</v>
      </c>
      <c r="F718">
        <v>34</v>
      </c>
      <c r="G718" t="s">
        <v>31</v>
      </c>
      <c r="H718">
        <v>3160.61</v>
      </c>
      <c r="I718">
        <v>3273.22</v>
      </c>
      <c r="J718" t="s">
        <v>17</v>
      </c>
      <c r="K718">
        <v>0.08</v>
      </c>
      <c r="L718" t="s">
        <v>28</v>
      </c>
      <c r="M718" t="s">
        <v>21</v>
      </c>
      <c r="N718" t="str">
        <f t="shared" si="55"/>
        <v>North-David</v>
      </c>
      <c r="O718">
        <f t="shared" si="56"/>
        <v>107460.74</v>
      </c>
      <c r="P718">
        <f t="shared" si="57"/>
        <v>111289.48</v>
      </c>
      <c r="Q718">
        <f t="shared" si="58"/>
        <v>3828.7399999999907</v>
      </c>
      <c r="R718">
        <f t="shared" si="59"/>
        <v>3.440343148337103</v>
      </c>
    </row>
    <row r="719" spans="1:18" x14ac:dyDescent="0.35">
      <c r="A719">
        <v>1044</v>
      </c>
      <c r="B719" s="1">
        <v>44971</v>
      </c>
      <c r="C719" t="s">
        <v>22</v>
      </c>
      <c r="D719" t="s">
        <v>20</v>
      </c>
      <c r="E719">
        <v>9396.7800000000007</v>
      </c>
      <c r="F719">
        <v>12</v>
      </c>
      <c r="G719" t="s">
        <v>31</v>
      </c>
      <c r="H719">
        <v>2221.31</v>
      </c>
      <c r="I719">
        <v>2494.48</v>
      </c>
      <c r="J719" t="s">
        <v>17</v>
      </c>
      <c r="K719">
        <v>0.22</v>
      </c>
      <c r="L719" t="s">
        <v>25</v>
      </c>
      <c r="M719" t="s">
        <v>19</v>
      </c>
      <c r="N719" t="str">
        <f t="shared" si="55"/>
        <v>West-David</v>
      </c>
      <c r="O719">
        <f t="shared" si="56"/>
        <v>26655.72</v>
      </c>
      <c r="P719">
        <f t="shared" si="57"/>
        <v>29933.760000000002</v>
      </c>
      <c r="Q719">
        <f t="shared" si="58"/>
        <v>3278.0400000000009</v>
      </c>
      <c r="R719">
        <f t="shared" si="59"/>
        <v>10.950979763317408</v>
      </c>
    </row>
    <row r="720" spans="1:18" x14ac:dyDescent="0.35">
      <c r="A720">
        <v>1045</v>
      </c>
      <c r="B720" s="1">
        <v>45271</v>
      </c>
      <c r="C720" t="s">
        <v>33</v>
      </c>
      <c r="D720" t="s">
        <v>20</v>
      </c>
      <c r="E720">
        <v>6400.11</v>
      </c>
      <c r="F720">
        <v>22</v>
      </c>
      <c r="G720" t="s">
        <v>26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tr">
        <f t="shared" si="55"/>
        <v>West-Alice</v>
      </c>
      <c r="O720">
        <f t="shared" si="56"/>
        <v>5320.7</v>
      </c>
      <c r="P720">
        <f t="shared" si="57"/>
        <v>13487.980000000001</v>
      </c>
      <c r="Q720">
        <f t="shared" si="58"/>
        <v>8167.2800000000016</v>
      </c>
      <c r="R720">
        <f t="shared" si="59"/>
        <v>60.55228433019623</v>
      </c>
    </row>
    <row r="721" spans="1:18" x14ac:dyDescent="0.35">
      <c r="A721">
        <v>1032</v>
      </c>
      <c r="B721" s="1">
        <v>45107</v>
      </c>
      <c r="C721" t="s">
        <v>32</v>
      </c>
      <c r="D721" t="s">
        <v>15</v>
      </c>
      <c r="E721">
        <v>3312.67</v>
      </c>
      <c r="F721">
        <v>6</v>
      </c>
      <c r="G721" t="s">
        <v>26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28</v>
      </c>
      <c r="M721" t="s">
        <v>21</v>
      </c>
      <c r="N721" t="str">
        <f t="shared" si="55"/>
        <v>North-Eve</v>
      </c>
      <c r="O721">
        <f t="shared" si="56"/>
        <v>15136.560000000001</v>
      </c>
      <c r="P721">
        <f t="shared" si="57"/>
        <v>17040.84</v>
      </c>
      <c r="Q721">
        <f t="shared" si="58"/>
        <v>1904.2799999999988</v>
      </c>
      <c r="R721">
        <f t="shared" si="59"/>
        <v>11.174801242192279</v>
      </c>
    </row>
    <row r="722" spans="1:18" x14ac:dyDescent="0.35">
      <c r="A722">
        <v>1045</v>
      </c>
      <c r="B722" s="1">
        <v>45096</v>
      </c>
      <c r="C722" t="s">
        <v>22</v>
      </c>
      <c r="D722" t="s">
        <v>15</v>
      </c>
      <c r="E722">
        <v>2768.17</v>
      </c>
      <c r="F722">
        <v>36</v>
      </c>
      <c r="G722" t="s">
        <v>31</v>
      </c>
      <c r="H722">
        <v>3835.64</v>
      </c>
      <c r="I722">
        <v>4076.77</v>
      </c>
      <c r="J722" t="s">
        <v>17</v>
      </c>
      <c r="K722">
        <v>0.1</v>
      </c>
      <c r="L722" t="s">
        <v>28</v>
      </c>
      <c r="M722" t="s">
        <v>21</v>
      </c>
      <c r="N722" t="str">
        <f t="shared" si="55"/>
        <v>North-David</v>
      </c>
      <c r="O722">
        <f t="shared" si="56"/>
        <v>138083.04</v>
      </c>
      <c r="P722">
        <f t="shared" si="57"/>
        <v>146763.72</v>
      </c>
      <c r="Q722">
        <f t="shared" si="58"/>
        <v>8680.679999999993</v>
      </c>
      <c r="R722">
        <f t="shared" si="59"/>
        <v>5.914731515390856</v>
      </c>
    </row>
    <row r="723" spans="1:18" x14ac:dyDescent="0.35">
      <c r="A723">
        <v>1061</v>
      </c>
      <c r="B723" s="1">
        <v>45282</v>
      </c>
      <c r="C723" t="s">
        <v>33</v>
      </c>
      <c r="D723" t="s">
        <v>15</v>
      </c>
      <c r="E723">
        <v>1990.17</v>
      </c>
      <c r="F723">
        <v>45</v>
      </c>
      <c r="G723" t="s">
        <v>26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tr">
        <f t="shared" si="55"/>
        <v>North-Alice</v>
      </c>
      <c r="O723">
        <f t="shared" si="56"/>
        <v>61402.95</v>
      </c>
      <c r="P723">
        <f t="shared" si="57"/>
        <v>83016</v>
      </c>
      <c r="Q723">
        <f t="shared" si="58"/>
        <v>21613.050000000003</v>
      </c>
      <c r="R723">
        <f t="shared" si="59"/>
        <v>26.034800520381619</v>
      </c>
    </row>
    <row r="724" spans="1:18" x14ac:dyDescent="0.35">
      <c r="A724">
        <v>1047</v>
      </c>
      <c r="B724" s="1">
        <v>45117</v>
      </c>
      <c r="C724" t="s">
        <v>22</v>
      </c>
      <c r="D724" t="s">
        <v>15</v>
      </c>
      <c r="E724">
        <v>6976.95</v>
      </c>
      <c r="F724">
        <v>36</v>
      </c>
      <c r="G724" t="s">
        <v>24</v>
      </c>
      <c r="H724">
        <v>4043.53</v>
      </c>
      <c r="I724">
        <v>4384.8500000000004</v>
      </c>
      <c r="J724" t="s">
        <v>27</v>
      </c>
      <c r="K724">
        <v>0.14000000000000001</v>
      </c>
      <c r="L724" t="s">
        <v>18</v>
      </c>
      <c r="M724" t="s">
        <v>19</v>
      </c>
      <c r="N724" t="str">
        <f t="shared" si="55"/>
        <v>North-David</v>
      </c>
      <c r="O724">
        <f t="shared" si="56"/>
        <v>145567.08000000002</v>
      </c>
      <c r="P724">
        <f t="shared" si="57"/>
        <v>157854.6</v>
      </c>
      <c r="Q724">
        <f t="shared" si="58"/>
        <v>12287.51999999999</v>
      </c>
      <c r="R724">
        <f t="shared" si="59"/>
        <v>7.7840747117917299</v>
      </c>
    </row>
    <row r="725" spans="1:18" x14ac:dyDescent="0.35">
      <c r="A725">
        <v>1021</v>
      </c>
      <c r="B725" s="1">
        <v>45081</v>
      </c>
      <c r="C725" t="s">
        <v>32</v>
      </c>
      <c r="D725" t="s">
        <v>15</v>
      </c>
      <c r="E725">
        <v>2265.2800000000002</v>
      </c>
      <c r="F725">
        <v>22</v>
      </c>
      <c r="G725" t="s">
        <v>31</v>
      </c>
      <c r="H725">
        <v>1296.44</v>
      </c>
      <c r="I725">
        <v>1751.24</v>
      </c>
      <c r="J725" t="s">
        <v>27</v>
      </c>
      <c r="K725">
        <v>0.22</v>
      </c>
      <c r="L725" t="s">
        <v>18</v>
      </c>
      <c r="M725" t="s">
        <v>19</v>
      </c>
      <c r="N725" t="str">
        <f t="shared" si="55"/>
        <v>North-Eve</v>
      </c>
      <c r="O725">
        <f t="shared" si="56"/>
        <v>28521.68</v>
      </c>
      <c r="P725">
        <f t="shared" si="57"/>
        <v>38527.279999999999</v>
      </c>
      <c r="Q725">
        <f t="shared" si="58"/>
        <v>10005.599999999999</v>
      </c>
      <c r="R725">
        <f t="shared" si="59"/>
        <v>25.970169708320956</v>
      </c>
    </row>
    <row r="726" spans="1:18" x14ac:dyDescent="0.35">
      <c r="A726">
        <v>1080</v>
      </c>
      <c r="B726" s="1">
        <v>45114</v>
      </c>
      <c r="C726" t="s">
        <v>29</v>
      </c>
      <c r="D726" t="s">
        <v>20</v>
      </c>
      <c r="E726">
        <v>5993.5</v>
      </c>
      <c r="F726">
        <v>14</v>
      </c>
      <c r="G726" t="s">
        <v>24</v>
      </c>
      <c r="H726">
        <v>4127.54</v>
      </c>
      <c r="I726">
        <v>4495.13</v>
      </c>
      <c r="J726" t="s">
        <v>27</v>
      </c>
      <c r="K726">
        <v>0.06</v>
      </c>
      <c r="L726" t="s">
        <v>25</v>
      </c>
      <c r="M726" t="s">
        <v>21</v>
      </c>
      <c r="N726" t="str">
        <f t="shared" si="55"/>
        <v>West-Charlie</v>
      </c>
      <c r="O726">
        <f t="shared" si="56"/>
        <v>57785.56</v>
      </c>
      <c r="P726">
        <f t="shared" si="57"/>
        <v>62931.82</v>
      </c>
      <c r="Q726">
        <f t="shared" si="58"/>
        <v>5146.260000000002</v>
      </c>
      <c r="R726">
        <f t="shared" si="59"/>
        <v>8.1775165568070367</v>
      </c>
    </row>
    <row r="727" spans="1:18" x14ac:dyDescent="0.35">
      <c r="A727">
        <v>1085</v>
      </c>
      <c r="B727" s="1">
        <v>44933</v>
      </c>
      <c r="C727" t="s">
        <v>32</v>
      </c>
      <c r="D727" t="s">
        <v>20</v>
      </c>
      <c r="E727">
        <v>2719.89</v>
      </c>
      <c r="F727">
        <v>16</v>
      </c>
      <c r="G727" t="s">
        <v>24</v>
      </c>
      <c r="H727">
        <v>472.08</v>
      </c>
      <c r="I727">
        <v>842.46</v>
      </c>
      <c r="J727" t="s">
        <v>27</v>
      </c>
      <c r="K727">
        <v>0</v>
      </c>
      <c r="L727" t="s">
        <v>18</v>
      </c>
      <c r="M727" t="s">
        <v>21</v>
      </c>
      <c r="N727" t="str">
        <f t="shared" si="55"/>
        <v>West-Eve</v>
      </c>
      <c r="O727">
        <f t="shared" si="56"/>
        <v>7553.28</v>
      </c>
      <c r="P727">
        <f t="shared" si="57"/>
        <v>13479.36</v>
      </c>
      <c r="Q727">
        <f t="shared" si="58"/>
        <v>5926.0800000000008</v>
      </c>
      <c r="R727">
        <f t="shared" si="59"/>
        <v>43.964105120717903</v>
      </c>
    </row>
    <row r="728" spans="1:18" x14ac:dyDescent="0.35">
      <c r="A728">
        <v>1075</v>
      </c>
      <c r="B728" s="1">
        <v>45059</v>
      </c>
      <c r="C728" t="s">
        <v>14</v>
      </c>
      <c r="D728" t="s">
        <v>30</v>
      </c>
      <c r="E728">
        <v>6653.49</v>
      </c>
      <c r="F728">
        <v>36</v>
      </c>
      <c r="G728" t="s">
        <v>26</v>
      </c>
      <c r="H728">
        <v>4337.6099999999997</v>
      </c>
      <c r="I728">
        <v>4386.82</v>
      </c>
      <c r="J728" t="s">
        <v>17</v>
      </c>
      <c r="K728">
        <v>0.23</v>
      </c>
      <c r="L728" t="s">
        <v>28</v>
      </c>
      <c r="M728" t="s">
        <v>19</v>
      </c>
      <c r="N728" t="str">
        <f t="shared" si="55"/>
        <v>East-Bob</v>
      </c>
      <c r="O728">
        <f t="shared" si="56"/>
        <v>156153.96</v>
      </c>
      <c r="P728">
        <f t="shared" si="57"/>
        <v>157925.51999999999</v>
      </c>
      <c r="Q728">
        <f t="shared" si="58"/>
        <v>1771.5599999999977</v>
      </c>
      <c r="R728">
        <f t="shared" si="59"/>
        <v>1.1217692998572983</v>
      </c>
    </row>
    <row r="729" spans="1:18" x14ac:dyDescent="0.35">
      <c r="A729">
        <v>1036</v>
      </c>
      <c r="B729" s="1">
        <v>45161</v>
      </c>
      <c r="C729" t="s">
        <v>22</v>
      </c>
      <c r="D729" t="s">
        <v>30</v>
      </c>
      <c r="E729">
        <v>8167.9</v>
      </c>
      <c r="F729">
        <v>25</v>
      </c>
      <c r="G729" t="s">
        <v>24</v>
      </c>
      <c r="H729">
        <v>2520.9699999999998</v>
      </c>
      <c r="I729">
        <v>2707.1099999999901</v>
      </c>
      <c r="J729" t="s">
        <v>27</v>
      </c>
      <c r="K729">
        <v>0.25</v>
      </c>
      <c r="L729" t="s">
        <v>18</v>
      </c>
      <c r="M729" t="s">
        <v>21</v>
      </c>
      <c r="N729" t="str">
        <f t="shared" si="55"/>
        <v>East-David</v>
      </c>
      <c r="O729">
        <f t="shared" si="56"/>
        <v>63024.249999999993</v>
      </c>
      <c r="P729">
        <f t="shared" si="57"/>
        <v>67677.749999999753</v>
      </c>
      <c r="Q729">
        <f t="shared" si="58"/>
        <v>4653.4999999997599</v>
      </c>
      <c r="R729">
        <f t="shared" si="59"/>
        <v>6.8759673600256752</v>
      </c>
    </row>
    <row r="730" spans="1:18" x14ac:dyDescent="0.35">
      <c r="A730">
        <v>1099</v>
      </c>
      <c r="B730" s="1">
        <v>44971</v>
      </c>
      <c r="C730" t="s">
        <v>22</v>
      </c>
      <c r="D730" t="s">
        <v>23</v>
      </c>
      <c r="E730">
        <v>7802.45</v>
      </c>
      <c r="F730">
        <v>32</v>
      </c>
      <c r="G730" t="s">
        <v>26</v>
      </c>
      <c r="H730">
        <v>1517.86</v>
      </c>
      <c r="I730">
        <v>1948.46</v>
      </c>
      <c r="J730" t="s">
        <v>27</v>
      </c>
      <c r="K730">
        <v>0.02</v>
      </c>
      <c r="L730" t="s">
        <v>28</v>
      </c>
      <c r="M730" t="s">
        <v>19</v>
      </c>
      <c r="N730" t="str">
        <f t="shared" si="55"/>
        <v>South-David</v>
      </c>
      <c r="O730">
        <f t="shared" si="56"/>
        <v>48571.519999999997</v>
      </c>
      <c r="P730">
        <f t="shared" si="57"/>
        <v>62350.720000000001</v>
      </c>
      <c r="Q730">
        <f t="shared" si="58"/>
        <v>13779.200000000004</v>
      </c>
      <c r="R730">
        <f t="shared" si="59"/>
        <v>22.099504223848584</v>
      </c>
    </row>
    <row r="731" spans="1:18" x14ac:dyDescent="0.35">
      <c r="A731">
        <v>1019</v>
      </c>
      <c r="B731" s="1">
        <v>45240</v>
      </c>
      <c r="C731" t="s">
        <v>14</v>
      </c>
      <c r="D731" t="s">
        <v>30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28</v>
      </c>
      <c r="M731" t="s">
        <v>21</v>
      </c>
      <c r="N731" t="str">
        <f t="shared" si="55"/>
        <v>East-Bob</v>
      </c>
      <c r="O731">
        <f t="shared" si="56"/>
        <v>44956.229999999996</v>
      </c>
      <c r="P731">
        <f t="shared" si="57"/>
        <v>49047.57</v>
      </c>
      <c r="Q731">
        <f t="shared" si="58"/>
        <v>4091.3400000000038</v>
      </c>
      <c r="R731">
        <f t="shared" si="59"/>
        <v>8.3415753318666024</v>
      </c>
    </row>
    <row r="732" spans="1:18" x14ac:dyDescent="0.35">
      <c r="A732">
        <v>1020</v>
      </c>
      <c r="B732" s="1">
        <v>45175</v>
      </c>
      <c r="C732" t="s">
        <v>14</v>
      </c>
      <c r="D732" t="s">
        <v>30</v>
      </c>
      <c r="E732">
        <v>1958.45</v>
      </c>
      <c r="F732">
        <v>45</v>
      </c>
      <c r="G732" t="s">
        <v>26</v>
      </c>
      <c r="H732">
        <v>2188.4499999999998</v>
      </c>
      <c r="I732">
        <v>2255.0499999999902</v>
      </c>
      <c r="J732" t="s">
        <v>27</v>
      </c>
      <c r="K732">
        <v>0.11</v>
      </c>
      <c r="L732" t="s">
        <v>25</v>
      </c>
      <c r="M732" t="s">
        <v>21</v>
      </c>
      <c r="N732" t="str">
        <f t="shared" si="55"/>
        <v>East-Bob</v>
      </c>
      <c r="O732">
        <f t="shared" si="56"/>
        <v>98480.249999999985</v>
      </c>
      <c r="P732">
        <f t="shared" si="57"/>
        <v>101477.24999999956</v>
      </c>
      <c r="Q732">
        <f t="shared" si="58"/>
        <v>2996.999999999578</v>
      </c>
      <c r="R732">
        <f t="shared" si="59"/>
        <v>2.9533713221432301</v>
      </c>
    </row>
    <row r="733" spans="1:18" x14ac:dyDescent="0.35">
      <c r="A733">
        <v>1057</v>
      </c>
      <c r="B733" s="1">
        <v>44957</v>
      </c>
      <c r="C733" t="s">
        <v>29</v>
      </c>
      <c r="D733" t="s">
        <v>15</v>
      </c>
      <c r="E733">
        <v>975.01</v>
      </c>
      <c r="F733">
        <v>36</v>
      </c>
      <c r="G733" t="s">
        <v>24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tr">
        <f t="shared" si="55"/>
        <v>North-Charlie</v>
      </c>
      <c r="O733">
        <f t="shared" si="56"/>
        <v>179830.80000000002</v>
      </c>
      <c r="P733">
        <f t="shared" si="57"/>
        <v>185943.24</v>
      </c>
      <c r="Q733">
        <f t="shared" si="58"/>
        <v>6112.4399999999732</v>
      </c>
      <c r="R733">
        <f t="shared" si="59"/>
        <v>3.2872612093883995</v>
      </c>
    </row>
    <row r="734" spans="1:18" x14ac:dyDescent="0.35">
      <c r="A734">
        <v>1018</v>
      </c>
      <c r="B734" s="1">
        <v>44949</v>
      </c>
      <c r="C734" t="s">
        <v>22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25</v>
      </c>
      <c r="M734" t="s">
        <v>19</v>
      </c>
      <c r="N734" t="str">
        <f t="shared" si="55"/>
        <v>North-David</v>
      </c>
      <c r="O734">
        <f t="shared" si="56"/>
        <v>22812.399999999998</v>
      </c>
      <c r="P734">
        <f t="shared" si="57"/>
        <v>25172.599999999802</v>
      </c>
      <c r="Q734">
        <f t="shared" si="58"/>
        <v>2360.1999999998043</v>
      </c>
      <c r="R734">
        <f t="shared" si="59"/>
        <v>9.376067629088066</v>
      </c>
    </row>
    <row r="735" spans="1:18" x14ac:dyDescent="0.35">
      <c r="A735">
        <v>1047</v>
      </c>
      <c r="B735" s="1">
        <v>45086</v>
      </c>
      <c r="C735" t="s">
        <v>22</v>
      </c>
      <c r="D735" t="s">
        <v>30</v>
      </c>
      <c r="E735">
        <v>3746.64</v>
      </c>
      <c r="F735">
        <v>18</v>
      </c>
      <c r="G735" t="s">
        <v>26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tr">
        <f t="shared" si="55"/>
        <v>East-David</v>
      </c>
      <c r="O735">
        <f t="shared" si="56"/>
        <v>10096.56</v>
      </c>
      <c r="P735">
        <f t="shared" si="57"/>
        <v>18437.579999999998</v>
      </c>
      <c r="Q735">
        <f t="shared" si="58"/>
        <v>8341.0199999999986</v>
      </c>
      <c r="R735">
        <f t="shared" si="59"/>
        <v>45.239234216204075</v>
      </c>
    </row>
    <row r="736" spans="1:18" x14ac:dyDescent="0.35">
      <c r="A736">
        <v>1049</v>
      </c>
      <c r="B736" s="1">
        <v>45289</v>
      </c>
      <c r="C736" t="s">
        <v>29</v>
      </c>
      <c r="D736" t="s">
        <v>23</v>
      </c>
      <c r="E736">
        <v>4380.2299999999996</v>
      </c>
      <c r="F736">
        <v>38</v>
      </c>
      <c r="G736" t="s">
        <v>24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21</v>
      </c>
      <c r="N736" t="str">
        <f t="shared" si="55"/>
        <v>South-Charlie</v>
      </c>
      <c r="O736">
        <f t="shared" si="56"/>
        <v>111944.96000000001</v>
      </c>
      <c r="P736">
        <f t="shared" si="57"/>
        <v>128486.35999999999</v>
      </c>
      <c r="Q736">
        <f t="shared" si="58"/>
        <v>16541.39999999998</v>
      </c>
      <c r="R736">
        <f t="shared" si="59"/>
        <v>12.874051377905001</v>
      </c>
    </row>
    <row r="737" spans="1:18" x14ac:dyDescent="0.35">
      <c r="A737">
        <v>1014</v>
      </c>
      <c r="B737" s="1">
        <v>45084</v>
      </c>
      <c r="C737" t="s">
        <v>33</v>
      </c>
      <c r="D737" t="s">
        <v>15</v>
      </c>
      <c r="E737">
        <v>408.38</v>
      </c>
      <c r="F737">
        <v>3</v>
      </c>
      <c r="G737" t="s">
        <v>31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21</v>
      </c>
      <c r="N737" t="str">
        <f t="shared" si="55"/>
        <v>North-Alice</v>
      </c>
      <c r="O737">
        <f t="shared" si="56"/>
        <v>7404.87</v>
      </c>
      <c r="P737">
        <f t="shared" si="57"/>
        <v>8169.39</v>
      </c>
      <c r="Q737">
        <f t="shared" si="58"/>
        <v>764.52000000000044</v>
      </c>
      <c r="R737">
        <f t="shared" si="59"/>
        <v>9.3583486649554057</v>
      </c>
    </row>
    <row r="738" spans="1:18" x14ac:dyDescent="0.35">
      <c r="A738">
        <v>1015</v>
      </c>
      <c r="B738" s="1">
        <v>44965</v>
      </c>
      <c r="C738" t="s">
        <v>29</v>
      </c>
      <c r="D738" t="s">
        <v>30</v>
      </c>
      <c r="E738">
        <v>2669.81</v>
      </c>
      <c r="F738">
        <v>23</v>
      </c>
      <c r="G738" t="s">
        <v>31</v>
      </c>
      <c r="H738">
        <v>2644.77</v>
      </c>
      <c r="I738">
        <v>2684.83</v>
      </c>
      <c r="J738" t="s">
        <v>27</v>
      </c>
      <c r="K738">
        <v>0.24</v>
      </c>
      <c r="L738" t="s">
        <v>18</v>
      </c>
      <c r="M738" t="s">
        <v>19</v>
      </c>
      <c r="N738" t="str">
        <f t="shared" si="55"/>
        <v>East-Charlie</v>
      </c>
      <c r="O738">
        <f t="shared" si="56"/>
        <v>60829.71</v>
      </c>
      <c r="P738">
        <f t="shared" si="57"/>
        <v>61751.09</v>
      </c>
      <c r="Q738">
        <f t="shared" si="58"/>
        <v>921.37999999999738</v>
      </c>
      <c r="R738">
        <f t="shared" si="59"/>
        <v>1.4920870222695624</v>
      </c>
    </row>
    <row r="739" spans="1:18" x14ac:dyDescent="0.35">
      <c r="A739">
        <v>1031</v>
      </c>
      <c r="B739" s="1">
        <v>45008</v>
      </c>
      <c r="C739" t="s">
        <v>32</v>
      </c>
      <c r="D739" t="s">
        <v>30</v>
      </c>
      <c r="E739">
        <v>433.4</v>
      </c>
      <c r="F739">
        <v>32</v>
      </c>
      <c r="G739" t="s">
        <v>26</v>
      </c>
      <c r="H739">
        <v>3351.33</v>
      </c>
      <c r="I739">
        <v>3711.47</v>
      </c>
      <c r="J739" t="s">
        <v>27</v>
      </c>
      <c r="K739">
        <v>0.16</v>
      </c>
      <c r="L739" t="s">
        <v>18</v>
      </c>
      <c r="M739" t="s">
        <v>21</v>
      </c>
      <c r="N739" t="str">
        <f t="shared" si="55"/>
        <v>East-Eve</v>
      </c>
      <c r="O739">
        <f t="shared" si="56"/>
        <v>107242.56</v>
      </c>
      <c r="P739">
        <f t="shared" si="57"/>
        <v>118767.03999999999</v>
      </c>
      <c r="Q739">
        <f t="shared" si="58"/>
        <v>11524.479999999996</v>
      </c>
      <c r="R739">
        <f t="shared" si="59"/>
        <v>9.7034328716115148</v>
      </c>
    </row>
    <row r="740" spans="1:18" x14ac:dyDescent="0.35">
      <c r="A740">
        <v>1001</v>
      </c>
      <c r="B740" s="1">
        <v>45282</v>
      </c>
      <c r="C740" t="s">
        <v>22</v>
      </c>
      <c r="D740" t="s">
        <v>20</v>
      </c>
      <c r="E740">
        <v>8803.94</v>
      </c>
      <c r="F740">
        <v>45</v>
      </c>
      <c r="G740" t="s">
        <v>26</v>
      </c>
      <c r="H740">
        <v>1372.36</v>
      </c>
      <c r="I740">
        <v>1687.83</v>
      </c>
      <c r="J740" t="s">
        <v>27</v>
      </c>
      <c r="K740">
        <v>0.02</v>
      </c>
      <c r="L740" t="s">
        <v>28</v>
      </c>
      <c r="M740" t="s">
        <v>19</v>
      </c>
      <c r="N740" t="str">
        <f t="shared" si="55"/>
        <v>West-David</v>
      </c>
      <c r="O740">
        <f t="shared" si="56"/>
        <v>61756.2</v>
      </c>
      <c r="P740">
        <f t="shared" si="57"/>
        <v>75952.349999999991</v>
      </c>
      <c r="Q740">
        <f t="shared" si="58"/>
        <v>14196.149999999994</v>
      </c>
      <c r="R740">
        <f t="shared" si="59"/>
        <v>18.690863416339319</v>
      </c>
    </row>
    <row r="741" spans="1:18" x14ac:dyDescent="0.35">
      <c r="A741">
        <v>1054</v>
      </c>
      <c r="B741" s="1">
        <v>45184</v>
      </c>
      <c r="C741" t="s">
        <v>14</v>
      </c>
      <c r="D741" t="s">
        <v>23</v>
      </c>
      <c r="E741">
        <v>2509.63</v>
      </c>
      <c r="F741">
        <v>16</v>
      </c>
      <c r="G741" t="s">
        <v>31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28</v>
      </c>
      <c r="M741" t="s">
        <v>21</v>
      </c>
      <c r="N741" t="str">
        <f t="shared" si="55"/>
        <v>South-Bob</v>
      </c>
      <c r="O741">
        <f t="shared" si="56"/>
        <v>72924.639999999999</v>
      </c>
      <c r="P741">
        <f t="shared" si="57"/>
        <v>80693.759999999995</v>
      </c>
      <c r="Q741">
        <f t="shared" si="58"/>
        <v>7769.1199999999953</v>
      </c>
      <c r="R741">
        <f t="shared" si="59"/>
        <v>9.6279067922971926</v>
      </c>
    </row>
    <row r="742" spans="1:18" x14ac:dyDescent="0.35">
      <c r="A742">
        <v>1003</v>
      </c>
      <c r="B742" s="1">
        <v>45132</v>
      </c>
      <c r="C742" t="s">
        <v>32</v>
      </c>
      <c r="D742" t="s">
        <v>20</v>
      </c>
      <c r="E742">
        <v>5617.64</v>
      </c>
      <c r="F742">
        <v>5</v>
      </c>
      <c r="G742" t="s">
        <v>24</v>
      </c>
      <c r="H742">
        <v>2206.58</v>
      </c>
      <c r="I742">
        <v>2490.4699999999998</v>
      </c>
      <c r="J742" t="s">
        <v>27</v>
      </c>
      <c r="K742">
        <v>0.28000000000000003</v>
      </c>
      <c r="L742" t="s">
        <v>18</v>
      </c>
      <c r="M742" t="s">
        <v>19</v>
      </c>
      <c r="N742" t="str">
        <f t="shared" si="55"/>
        <v>West-Eve</v>
      </c>
      <c r="O742">
        <f t="shared" si="56"/>
        <v>11032.9</v>
      </c>
      <c r="P742">
        <f t="shared" si="57"/>
        <v>12452.349999999999</v>
      </c>
      <c r="Q742">
        <f t="shared" si="58"/>
        <v>1419.4499999999989</v>
      </c>
      <c r="R742">
        <f t="shared" si="59"/>
        <v>11.399053190763182</v>
      </c>
    </row>
    <row r="743" spans="1:18" x14ac:dyDescent="0.35">
      <c r="A743">
        <v>1016</v>
      </c>
      <c r="B743" s="1">
        <v>45003</v>
      </c>
      <c r="C743" t="s">
        <v>22</v>
      </c>
      <c r="D743" t="s">
        <v>23</v>
      </c>
      <c r="E743">
        <v>485.9</v>
      </c>
      <c r="F743">
        <v>4</v>
      </c>
      <c r="G743" t="s">
        <v>24</v>
      </c>
      <c r="H743">
        <v>688.98</v>
      </c>
      <c r="I743">
        <v>863.81</v>
      </c>
      <c r="J743" t="s">
        <v>27</v>
      </c>
      <c r="K743">
        <v>0.27</v>
      </c>
      <c r="L743" t="s">
        <v>28</v>
      </c>
      <c r="M743" t="s">
        <v>21</v>
      </c>
      <c r="N743" t="str">
        <f t="shared" si="55"/>
        <v>South-David</v>
      </c>
      <c r="O743">
        <f t="shared" si="56"/>
        <v>2755.92</v>
      </c>
      <c r="P743">
        <f t="shared" si="57"/>
        <v>3455.24</v>
      </c>
      <c r="Q743">
        <f t="shared" si="58"/>
        <v>699.31999999999971</v>
      </c>
      <c r="R743">
        <f t="shared" si="59"/>
        <v>20.239404498674471</v>
      </c>
    </row>
    <row r="744" spans="1:18" x14ac:dyDescent="0.35">
      <c r="A744">
        <v>1087</v>
      </c>
      <c r="B744" s="1">
        <v>44938</v>
      </c>
      <c r="C744" t="s">
        <v>29</v>
      </c>
      <c r="D744" t="s">
        <v>15</v>
      </c>
      <c r="E744">
        <v>6701.79</v>
      </c>
      <c r="F744">
        <v>21</v>
      </c>
      <c r="G744" t="s">
        <v>24</v>
      </c>
      <c r="H744">
        <v>3724.38</v>
      </c>
      <c r="I744">
        <v>3988.7</v>
      </c>
      <c r="J744" t="s">
        <v>27</v>
      </c>
      <c r="K744">
        <v>0.03</v>
      </c>
      <c r="L744" t="s">
        <v>25</v>
      </c>
      <c r="M744" t="s">
        <v>21</v>
      </c>
      <c r="N744" t="str">
        <f t="shared" si="55"/>
        <v>North-Charlie</v>
      </c>
      <c r="O744">
        <f t="shared" si="56"/>
        <v>78211.98</v>
      </c>
      <c r="P744">
        <f t="shared" si="57"/>
        <v>83762.7</v>
      </c>
      <c r="Q744">
        <f t="shared" si="58"/>
        <v>5550.7200000000012</v>
      </c>
      <c r="R744">
        <f t="shared" si="59"/>
        <v>6.626720485371175</v>
      </c>
    </row>
    <row r="745" spans="1:18" x14ac:dyDescent="0.35">
      <c r="A745">
        <v>1057</v>
      </c>
      <c r="B745" s="1">
        <v>45221</v>
      </c>
      <c r="C745" t="s">
        <v>32</v>
      </c>
      <c r="D745" t="s">
        <v>23</v>
      </c>
      <c r="E745">
        <v>3297.97</v>
      </c>
      <c r="F745">
        <v>40</v>
      </c>
      <c r="G745" t="s">
        <v>26</v>
      </c>
      <c r="H745">
        <v>3233.37</v>
      </c>
      <c r="I745">
        <v>3723.21</v>
      </c>
      <c r="J745" t="s">
        <v>27</v>
      </c>
      <c r="K745">
        <v>0.22</v>
      </c>
      <c r="L745" t="s">
        <v>25</v>
      </c>
      <c r="M745" t="s">
        <v>21</v>
      </c>
      <c r="N745" t="str">
        <f t="shared" si="55"/>
        <v>South-Eve</v>
      </c>
      <c r="O745">
        <f t="shared" si="56"/>
        <v>129334.79999999999</v>
      </c>
      <c r="P745">
        <f t="shared" si="57"/>
        <v>148928.4</v>
      </c>
      <c r="Q745">
        <f t="shared" si="58"/>
        <v>19593.600000000006</v>
      </c>
      <c r="R745">
        <f t="shared" si="59"/>
        <v>13.156389244764602</v>
      </c>
    </row>
    <row r="746" spans="1:18" x14ac:dyDescent="0.35">
      <c r="A746">
        <v>1075</v>
      </c>
      <c r="B746" s="1">
        <v>45150</v>
      </c>
      <c r="C746" t="s">
        <v>22</v>
      </c>
      <c r="D746" t="s">
        <v>30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25</v>
      </c>
      <c r="M746" t="s">
        <v>21</v>
      </c>
      <c r="N746" t="str">
        <f t="shared" si="55"/>
        <v>East-David</v>
      </c>
      <c r="O746">
        <f t="shared" si="56"/>
        <v>22581.02</v>
      </c>
      <c r="P746">
        <f t="shared" si="57"/>
        <v>27498.100000000002</v>
      </c>
      <c r="Q746">
        <f t="shared" si="58"/>
        <v>4917.0800000000017</v>
      </c>
      <c r="R746">
        <f t="shared" si="59"/>
        <v>17.881526360003061</v>
      </c>
    </row>
    <row r="747" spans="1:18" x14ac:dyDescent="0.35">
      <c r="A747">
        <v>1012</v>
      </c>
      <c r="B747" s="1">
        <v>44939</v>
      </c>
      <c r="C747" t="s">
        <v>33</v>
      </c>
      <c r="D747" t="s">
        <v>30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27</v>
      </c>
      <c r="K747">
        <v>0.08</v>
      </c>
      <c r="L747" t="s">
        <v>18</v>
      </c>
      <c r="M747" t="s">
        <v>19</v>
      </c>
      <c r="N747" t="str">
        <f t="shared" si="55"/>
        <v>East-Alice</v>
      </c>
      <c r="O747">
        <f t="shared" si="56"/>
        <v>121934.28</v>
      </c>
      <c r="P747">
        <f t="shared" si="57"/>
        <v>135165.81</v>
      </c>
      <c r="Q747">
        <f t="shared" si="58"/>
        <v>13231.529999999999</v>
      </c>
      <c r="R747">
        <f t="shared" si="59"/>
        <v>9.7891101307349828</v>
      </c>
    </row>
    <row r="748" spans="1:18" x14ac:dyDescent="0.35">
      <c r="A748">
        <v>1074</v>
      </c>
      <c r="B748" s="1">
        <v>44972</v>
      </c>
      <c r="C748" t="s">
        <v>33</v>
      </c>
      <c r="D748" t="s">
        <v>23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21</v>
      </c>
      <c r="N748" t="str">
        <f t="shared" si="55"/>
        <v>South-Alice</v>
      </c>
      <c r="O748">
        <f t="shared" si="56"/>
        <v>35287.919999999998</v>
      </c>
      <c r="P748">
        <f t="shared" si="57"/>
        <v>39253.75</v>
      </c>
      <c r="Q748">
        <f t="shared" si="58"/>
        <v>3965.8300000000017</v>
      </c>
      <c r="R748">
        <f t="shared" si="59"/>
        <v>10.103060217176708</v>
      </c>
    </row>
    <row r="749" spans="1:18" x14ac:dyDescent="0.35">
      <c r="A749">
        <v>1096</v>
      </c>
      <c r="B749" s="1">
        <v>45081</v>
      </c>
      <c r="C749" t="s">
        <v>14</v>
      </c>
      <c r="D749" t="s">
        <v>23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28</v>
      </c>
      <c r="M749" t="s">
        <v>19</v>
      </c>
      <c r="N749" t="str">
        <f t="shared" si="55"/>
        <v>South-Bob</v>
      </c>
      <c r="O749">
        <f t="shared" si="56"/>
        <v>31527.299999999996</v>
      </c>
      <c r="P749">
        <f t="shared" si="57"/>
        <v>36768.479999999865</v>
      </c>
      <c r="Q749">
        <f t="shared" si="58"/>
        <v>5241.1799999998693</v>
      </c>
      <c r="R749">
        <f t="shared" si="59"/>
        <v>14.254546285296232</v>
      </c>
    </row>
    <row r="750" spans="1:18" x14ac:dyDescent="0.35">
      <c r="A750">
        <v>1016</v>
      </c>
      <c r="B750" s="1">
        <v>45039</v>
      </c>
      <c r="C750" t="s">
        <v>22</v>
      </c>
      <c r="D750" t="s">
        <v>23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27</v>
      </c>
      <c r="K750">
        <v>0.13</v>
      </c>
      <c r="L750" t="s">
        <v>28</v>
      </c>
      <c r="M750" t="s">
        <v>19</v>
      </c>
      <c r="N750" t="str">
        <f t="shared" si="55"/>
        <v>South-David</v>
      </c>
      <c r="O750">
        <f t="shared" si="56"/>
        <v>27012.54</v>
      </c>
      <c r="P750">
        <f t="shared" si="57"/>
        <v>29278.32</v>
      </c>
      <c r="Q750">
        <f t="shared" si="58"/>
        <v>2265.7799999999988</v>
      </c>
      <c r="R750">
        <f t="shared" si="59"/>
        <v>7.7387636995565279</v>
      </c>
    </row>
    <row r="751" spans="1:18" x14ac:dyDescent="0.35">
      <c r="A751">
        <v>1072</v>
      </c>
      <c r="B751" s="1">
        <v>45159</v>
      </c>
      <c r="C751" t="s">
        <v>33</v>
      </c>
      <c r="D751" t="s">
        <v>20</v>
      </c>
      <c r="E751">
        <v>8271.6200000000008</v>
      </c>
      <c r="F751">
        <v>12</v>
      </c>
      <c r="G751" t="s">
        <v>26</v>
      </c>
      <c r="H751">
        <v>710.99</v>
      </c>
      <c r="I751">
        <v>876.46</v>
      </c>
      <c r="J751" t="s">
        <v>17</v>
      </c>
      <c r="K751">
        <v>0.03</v>
      </c>
      <c r="L751" t="s">
        <v>28</v>
      </c>
      <c r="M751" t="s">
        <v>19</v>
      </c>
      <c r="N751" t="str">
        <f t="shared" si="55"/>
        <v>West-Alice</v>
      </c>
      <c r="O751">
        <f t="shared" si="56"/>
        <v>8531.880000000001</v>
      </c>
      <c r="P751">
        <f t="shared" si="57"/>
        <v>10517.52</v>
      </c>
      <c r="Q751">
        <f t="shared" si="58"/>
        <v>1985.6399999999994</v>
      </c>
      <c r="R751">
        <f t="shared" si="59"/>
        <v>18.879355589530604</v>
      </c>
    </row>
    <row r="752" spans="1:18" x14ac:dyDescent="0.35">
      <c r="A752">
        <v>1076</v>
      </c>
      <c r="B752" s="1">
        <v>44943</v>
      </c>
      <c r="C752" t="s">
        <v>29</v>
      </c>
      <c r="D752" t="s">
        <v>23</v>
      </c>
      <c r="E752">
        <v>8464.23</v>
      </c>
      <c r="F752">
        <v>16</v>
      </c>
      <c r="G752" t="s">
        <v>26</v>
      </c>
      <c r="H752">
        <v>1964.15</v>
      </c>
      <c r="I752">
        <v>2211.17</v>
      </c>
      <c r="J752" t="s">
        <v>17</v>
      </c>
      <c r="K752">
        <v>0.21</v>
      </c>
      <c r="L752" t="s">
        <v>25</v>
      </c>
      <c r="M752" t="s">
        <v>19</v>
      </c>
      <c r="N752" t="str">
        <f t="shared" si="55"/>
        <v>South-Charlie</v>
      </c>
      <c r="O752">
        <f t="shared" si="56"/>
        <v>31426.400000000001</v>
      </c>
      <c r="P752">
        <f t="shared" si="57"/>
        <v>35378.720000000001</v>
      </c>
      <c r="Q752">
        <f t="shared" si="58"/>
        <v>3952.3199999999997</v>
      </c>
      <c r="R752">
        <f t="shared" si="59"/>
        <v>11.171461262589489</v>
      </c>
    </row>
    <row r="753" spans="1:18" x14ac:dyDescent="0.35">
      <c r="A753">
        <v>1024</v>
      </c>
      <c r="B753" s="1">
        <v>45286</v>
      </c>
      <c r="C753" t="s">
        <v>22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25</v>
      </c>
      <c r="M753" t="s">
        <v>21</v>
      </c>
      <c r="N753" t="str">
        <f t="shared" si="55"/>
        <v>North-David</v>
      </c>
      <c r="O753">
        <f t="shared" si="56"/>
        <v>69949.22</v>
      </c>
      <c r="P753">
        <f t="shared" si="57"/>
        <v>72573.339999999836</v>
      </c>
      <c r="Q753">
        <f t="shared" si="58"/>
        <v>2624.1199999998353</v>
      </c>
      <c r="R753">
        <f t="shared" si="59"/>
        <v>3.6158181503012554</v>
      </c>
    </row>
    <row r="754" spans="1:18" x14ac:dyDescent="0.35">
      <c r="A754">
        <v>1028</v>
      </c>
      <c r="B754" s="1">
        <v>45149</v>
      </c>
      <c r="C754" t="s">
        <v>29</v>
      </c>
      <c r="D754" t="s">
        <v>20</v>
      </c>
      <c r="E754">
        <v>5809.35</v>
      </c>
      <c r="F754">
        <v>45</v>
      </c>
      <c r="G754" t="s">
        <v>26</v>
      </c>
      <c r="H754">
        <v>4848.9799999999996</v>
      </c>
      <c r="I754">
        <v>4985.75</v>
      </c>
      <c r="J754" t="s">
        <v>17</v>
      </c>
      <c r="K754">
        <v>0.2</v>
      </c>
      <c r="L754" t="s">
        <v>25</v>
      </c>
      <c r="M754" t="s">
        <v>19</v>
      </c>
      <c r="N754" t="str">
        <f t="shared" si="55"/>
        <v>West-Charlie</v>
      </c>
      <c r="O754">
        <f t="shared" si="56"/>
        <v>218204.09999999998</v>
      </c>
      <c r="P754">
        <f t="shared" si="57"/>
        <v>224358.75</v>
      </c>
      <c r="Q754">
        <f t="shared" si="58"/>
        <v>6154.6500000000233</v>
      </c>
      <c r="R754">
        <f t="shared" si="59"/>
        <v>2.7432181717896107</v>
      </c>
    </row>
    <row r="755" spans="1:18" x14ac:dyDescent="0.35">
      <c r="A755">
        <v>1008</v>
      </c>
      <c r="B755" s="1">
        <v>45280</v>
      </c>
      <c r="C755" t="s">
        <v>29</v>
      </c>
      <c r="D755" t="s">
        <v>20</v>
      </c>
      <c r="E755">
        <v>765.83</v>
      </c>
      <c r="F755">
        <v>23</v>
      </c>
      <c r="G755" t="s">
        <v>26</v>
      </c>
      <c r="H755">
        <v>2296.9299999999998</v>
      </c>
      <c r="I755">
        <v>2319.62</v>
      </c>
      <c r="J755" t="s">
        <v>17</v>
      </c>
      <c r="K755">
        <v>0.23</v>
      </c>
      <c r="L755" t="s">
        <v>25</v>
      </c>
      <c r="M755" t="s">
        <v>21</v>
      </c>
      <c r="N755" t="str">
        <f t="shared" si="55"/>
        <v>West-Charlie</v>
      </c>
      <c r="O755">
        <f t="shared" si="56"/>
        <v>52829.39</v>
      </c>
      <c r="P755">
        <f t="shared" si="57"/>
        <v>53351.259999999995</v>
      </c>
      <c r="Q755">
        <f t="shared" si="58"/>
        <v>521.86999999999534</v>
      </c>
      <c r="R755">
        <f t="shared" si="59"/>
        <v>0.97817746010121476</v>
      </c>
    </row>
    <row r="756" spans="1:18" x14ac:dyDescent="0.35">
      <c r="A756">
        <v>1092</v>
      </c>
      <c r="B756" s="1">
        <v>45114</v>
      </c>
      <c r="C756" t="s">
        <v>33</v>
      </c>
      <c r="D756" t="s">
        <v>23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28</v>
      </c>
      <c r="M756" t="s">
        <v>21</v>
      </c>
      <c r="N756" t="str">
        <f t="shared" si="55"/>
        <v>South-Alice</v>
      </c>
      <c r="O756">
        <f t="shared" si="56"/>
        <v>35835.1</v>
      </c>
      <c r="P756">
        <f t="shared" si="57"/>
        <v>37931.599999999999</v>
      </c>
      <c r="Q756">
        <f t="shared" si="58"/>
        <v>2096.5</v>
      </c>
      <c r="R756">
        <f t="shared" si="59"/>
        <v>5.5270539602864108</v>
      </c>
    </row>
    <row r="757" spans="1:18" x14ac:dyDescent="0.35">
      <c r="A757">
        <v>1036</v>
      </c>
      <c r="B757" s="1">
        <v>45270</v>
      </c>
      <c r="C757" t="s">
        <v>22</v>
      </c>
      <c r="D757" t="s">
        <v>15</v>
      </c>
      <c r="E757">
        <v>9989.0400000000009</v>
      </c>
      <c r="F757">
        <v>7</v>
      </c>
      <c r="G757" t="s">
        <v>24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21</v>
      </c>
      <c r="N757" t="str">
        <f t="shared" si="55"/>
        <v>North-David</v>
      </c>
      <c r="O757">
        <f t="shared" si="56"/>
        <v>20175.75</v>
      </c>
      <c r="P757">
        <f t="shared" si="57"/>
        <v>22145.899999999998</v>
      </c>
      <c r="Q757">
        <f t="shared" si="58"/>
        <v>1970.1499999999978</v>
      </c>
      <c r="R757">
        <f t="shared" si="59"/>
        <v>8.8962290988399566</v>
      </c>
    </row>
    <row r="758" spans="1:18" x14ac:dyDescent="0.35">
      <c r="A758">
        <v>1090</v>
      </c>
      <c r="B758" s="1">
        <v>45291</v>
      </c>
      <c r="C758" t="s">
        <v>32</v>
      </c>
      <c r="D758" t="s">
        <v>20</v>
      </c>
      <c r="E758">
        <v>3333.73</v>
      </c>
      <c r="F758">
        <v>46</v>
      </c>
      <c r="G758" t="s">
        <v>26</v>
      </c>
      <c r="H758">
        <v>4665.12</v>
      </c>
      <c r="I758">
        <v>4675.8999999999996</v>
      </c>
      <c r="J758" t="s">
        <v>27</v>
      </c>
      <c r="K758">
        <v>0.19</v>
      </c>
      <c r="L758" t="s">
        <v>18</v>
      </c>
      <c r="M758" t="s">
        <v>21</v>
      </c>
      <c r="N758" t="str">
        <f t="shared" si="55"/>
        <v>West-Eve</v>
      </c>
      <c r="O758">
        <f t="shared" si="56"/>
        <v>214595.52</v>
      </c>
      <c r="P758">
        <f t="shared" si="57"/>
        <v>215091.4</v>
      </c>
      <c r="Q758">
        <f t="shared" si="58"/>
        <v>495.88000000000466</v>
      </c>
      <c r="R758">
        <f t="shared" si="59"/>
        <v>0.2305438525203726</v>
      </c>
    </row>
    <row r="759" spans="1:18" x14ac:dyDescent="0.35">
      <c r="A759">
        <v>1008</v>
      </c>
      <c r="B759" s="1">
        <v>45089</v>
      </c>
      <c r="C759" t="s">
        <v>33</v>
      </c>
      <c r="D759" t="s">
        <v>30</v>
      </c>
      <c r="E759">
        <v>7507.02</v>
      </c>
      <c r="F759">
        <v>32</v>
      </c>
      <c r="G759" t="s">
        <v>24</v>
      </c>
      <c r="H759">
        <v>4298.12</v>
      </c>
      <c r="I759">
        <v>4446.8999999999996</v>
      </c>
      <c r="J759" t="s">
        <v>27</v>
      </c>
      <c r="K759">
        <v>0.1</v>
      </c>
      <c r="L759" t="s">
        <v>25</v>
      </c>
      <c r="M759" t="s">
        <v>19</v>
      </c>
      <c r="N759" t="str">
        <f t="shared" si="55"/>
        <v>East-Alice</v>
      </c>
      <c r="O759">
        <f t="shared" si="56"/>
        <v>137539.84</v>
      </c>
      <c r="P759">
        <f t="shared" si="57"/>
        <v>142300.79999999999</v>
      </c>
      <c r="Q759">
        <f t="shared" si="58"/>
        <v>4760.9599999999919</v>
      </c>
      <c r="R759">
        <f t="shared" si="59"/>
        <v>3.345701499921288</v>
      </c>
    </row>
    <row r="760" spans="1:18" x14ac:dyDescent="0.35">
      <c r="A760">
        <v>1058</v>
      </c>
      <c r="B760" s="1">
        <v>45252</v>
      </c>
      <c r="C760" t="s">
        <v>33</v>
      </c>
      <c r="D760" t="s">
        <v>20</v>
      </c>
      <c r="E760">
        <v>8085.98</v>
      </c>
      <c r="F760">
        <v>15</v>
      </c>
      <c r="G760" t="s">
        <v>26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21</v>
      </c>
      <c r="N760" t="str">
        <f t="shared" si="55"/>
        <v>West-Alice</v>
      </c>
      <c r="O760">
        <f t="shared" si="56"/>
        <v>13417.2</v>
      </c>
      <c r="P760">
        <f t="shared" si="57"/>
        <v>20045.55</v>
      </c>
      <c r="Q760">
        <f t="shared" si="58"/>
        <v>6628.3499999999985</v>
      </c>
      <c r="R760">
        <f t="shared" si="59"/>
        <v>33.06644118021206</v>
      </c>
    </row>
    <row r="761" spans="1:18" x14ac:dyDescent="0.35">
      <c r="A761">
        <v>1060</v>
      </c>
      <c r="B761" s="1">
        <v>45000</v>
      </c>
      <c r="C761" t="s">
        <v>22</v>
      </c>
      <c r="D761" t="s">
        <v>23</v>
      </c>
      <c r="E761">
        <v>8594.43</v>
      </c>
      <c r="F761">
        <v>44</v>
      </c>
      <c r="G761" t="s">
        <v>26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tr">
        <f t="shared" si="55"/>
        <v>South-David</v>
      </c>
      <c r="O761">
        <f t="shared" si="56"/>
        <v>97325.799999999988</v>
      </c>
      <c r="P761">
        <f t="shared" si="57"/>
        <v>110564.95999999957</v>
      </c>
      <c r="Q761">
        <f t="shared" si="58"/>
        <v>13239.159999999581</v>
      </c>
      <c r="R761">
        <f t="shared" si="59"/>
        <v>11.974101017175453</v>
      </c>
    </row>
    <row r="762" spans="1:18" x14ac:dyDescent="0.35">
      <c r="A762">
        <v>1050</v>
      </c>
      <c r="B762" s="1">
        <v>45159</v>
      </c>
      <c r="C762" t="s">
        <v>22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27</v>
      </c>
      <c r="K762">
        <v>0.13</v>
      </c>
      <c r="L762" t="s">
        <v>18</v>
      </c>
      <c r="M762" t="s">
        <v>21</v>
      </c>
      <c r="N762" t="str">
        <f t="shared" si="55"/>
        <v>North-David</v>
      </c>
      <c r="O762">
        <f t="shared" si="56"/>
        <v>39895.600000000006</v>
      </c>
      <c r="P762">
        <f t="shared" si="57"/>
        <v>45129.05</v>
      </c>
      <c r="Q762">
        <f t="shared" si="58"/>
        <v>5233.4499999999971</v>
      </c>
      <c r="R762">
        <f t="shared" si="59"/>
        <v>11.596632324411873</v>
      </c>
    </row>
    <row r="763" spans="1:18" x14ac:dyDescent="0.35">
      <c r="A763">
        <v>1028</v>
      </c>
      <c r="B763" s="1">
        <v>45150</v>
      </c>
      <c r="C763" t="s">
        <v>29</v>
      </c>
      <c r="D763" t="s">
        <v>23</v>
      </c>
      <c r="E763">
        <v>2490.8200000000002</v>
      </c>
      <c r="F763">
        <v>41</v>
      </c>
      <c r="G763" t="s">
        <v>26</v>
      </c>
      <c r="H763">
        <v>3956.03</v>
      </c>
      <c r="I763">
        <v>4163.68</v>
      </c>
      <c r="J763" t="s">
        <v>27</v>
      </c>
      <c r="K763">
        <v>0.12</v>
      </c>
      <c r="L763" t="s">
        <v>25</v>
      </c>
      <c r="M763" t="s">
        <v>21</v>
      </c>
      <c r="N763" t="str">
        <f t="shared" si="55"/>
        <v>South-Charlie</v>
      </c>
      <c r="O763">
        <f t="shared" si="56"/>
        <v>162197.23000000001</v>
      </c>
      <c r="P763">
        <f t="shared" si="57"/>
        <v>170710.88</v>
      </c>
      <c r="Q763">
        <f t="shared" si="58"/>
        <v>8513.6499999999942</v>
      </c>
      <c r="R763">
        <f t="shared" si="59"/>
        <v>4.9871748069015833</v>
      </c>
    </row>
    <row r="764" spans="1:18" x14ac:dyDescent="0.35">
      <c r="A764">
        <v>1092</v>
      </c>
      <c r="B764" s="1">
        <v>45245</v>
      </c>
      <c r="C764" t="s">
        <v>22</v>
      </c>
      <c r="D764" t="s">
        <v>30</v>
      </c>
      <c r="E764">
        <v>499.47</v>
      </c>
      <c r="F764">
        <v>47</v>
      </c>
      <c r="G764" t="s">
        <v>31</v>
      </c>
      <c r="H764">
        <v>3034.32</v>
      </c>
      <c r="I764">
        <v>3375.79</v>
      </c>
      <c r="J764" t="s">
        <v>27</v>
      </c>
      <c r="K764">
        <v>0.28000000000000003</v>
      </c>
      <c r="L764" t="s">
        <v>28</v>
      </c>
      <c r="M764" t="s">
        <v>19</v>
      </c>
      <c r="N764" t="str">
        <f t="shared" si="55"/>
        <v>East-David</v>
      </c>
      <c r="O764">
        <f t="shared" si="56"/>
        <v>142613.04</v>
      </c>
      <c r="P764">
        <f t="shared" si="57"/>
        <v>158662.13</v>
      </c>
      <c r="Q764">
        <f t="shared" si="58"/>
        <v>16049.089999999997</v>
      </c>
      <c r="R764">
        <f t="shared" si="59"/>
        <v>10.115261909064246</v>
      </c>
    </row>
    <row r="765" spans="1:18" x14ac:dyDescent="0.35">
      <c r="A765">
        <v>1041</v>
      </c>
      <c r="B765" s="1">
        <v>44986</v>
      </c>
      <c r="C765" t="s">
        <v>29</v>
      </c>
      <c r="D765" t="s">
        <v>30</v>
      </c>
      <c r="E765">
        <v>4170.8</v>
      </c>
      <c r="F765">
        <v>44</v>
      </c>
      <c r="G765" t="s">
        <v>31</v>
      </c>
      <c r="H765">
        <v>3288.39</v>
      </c>
      <c r="I765">
        <v>3391.46</v>
      </c>
      <c r="J765" t="s">
        <v>27</v>
      </c>
      <c r="K765">
        <v>0.05</v>
      </c>
      <c r="L765" t="s">
        <v>28</v>
      </c>
      <c r="M765" t="s">
        <v>21</v>
      </c>
      <c r="N765" t="str">
        <f t="shared" si="55"/>
        <v>East-Charlie</v>
      </c>
      <c r="O765">
        <f t="shared" si="56"/>
        <v>144689.16</v>
      </c>
      <c r="P765">
        <f t="shared" si="57"/>
        <v>149224.24</v>
      </c>
      <c r="Q765">
        <f t="shared" si="58"/>
        <v>4535.0799999999872</v>
      </c>
      <c r="R765">
        <f t="shared" si="59"/>
        <v>3.039104102657844</v>
      </c>
    </row>
    <row r="766" spans="1:18" x14ac:dyDescent="0.35">
      <c r="A766">
        <v>1100</v>
      </c>
      <c r="B766" s="1">
        <v>45261</v>
      </c>
      <c r="C766" t="s">
        <v>33</v>
      </c>
      <c r="D766" t="s">
        <v>30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21</v>
      </c>
      <c r="N766" t="str">
        <f t="shared" si="55"/>
        <v>East-Alice</v>
      </c>
      <c r="O766">
        <f t="shared" si="56"/>
        <v>169697.06</v>
      </c>
      <c r="P766">
        <f t="shared" si="57"/>
        <v>183677.52</v>
      </c>
      <c r="Q766">
        <f t="shared" si="58"/>
        <v>13980.459999999992</v>
      </c>
      <c r="R766">
        <f t="shared" si="59"/>
        <v>7.6114159206853369</v>
      </c>
    </row>
    <row r="767" spans="1:18" x14ac:dyDescent="0.35">
      <c r="A767">
        <v>1064</v>
      </c>
      <c r="B767" s="1">
        <v>45148</v>
      </c>
      <c r="C767" t="s">
        <v>14</v>
      </c>
      <c r="D767" t="s">
        <v>23</v>
      </c>
      <c r="E767">
        <v>322.02</v>
      </c>
      <c r="F767">
        <v>5</v>
      </c>
      <c r="G767" t="s">
        <v>24</v>
      </c>
      <c r="H767">
        <v>421.05</v>
      </c>
      <c r="I767">
        <v>488.23</v>
      </c>
      <c r="J767" t="s">
        <v>17</v>
      </c>
      <c r="K767">
        <v>7.0000000000000007E-2</v>
      </c>
      <c r="L767" t="s">
        <v>28</v>
      </c>
      <c r="M767" t="s">
        <v>21</v>
      </c>
      <c r="N767" t="str">
        <f t="shared" si="55"/>
        <v>South-Bob</v>
      </c>
      <c r="O767">
        <f t="shared" si="56"/>
        <v>2105.25</v>
      </c>
      <c r="P767">
        <f t="shared" si="57"/>
        <v>2441.15</v>
      </c>
      <c r="Q767">
        <f t="shared" si="58"/>
        <v>335.90000000000009</v>
      </c>
      <c r="R767">
        <f t="shared" si="59"/>
        <v>13.759908239968871</v>
      </c>
    </row>
    <row r="768" spans="1:18" x14ac:dyDescent="0.35">
      <c r="A768">
        <v>1027</v>
      </c>
      <c r="B768" s="1">
        <v>44963</v>
      </c>
      <c r="C768" t="s">
        <v>32</v>
      </c>
      <c r="D768" t="s">
        <v>20</v>
      </c>
      <c r="E768">
        <v>3668.23</v>
      </c>
      <c r="F768">
        <v>45</v>
      </c>
      <c r="G768" t="s">
        <v>24</v>
      </c>
      <c r="H768">
        <v>1153.9000000000001</v>
      </c>
      <c r="I768">
        <v>1485.34</v>
      </c>
      <c r="J768" t="s">
        <v>27</v>
      </c>
      <c r="K768">
        <v>0.25</v>
      </c>
      <c r="L768" t="s">
        <v>28</v>
      </c>
      <c r="M768" t="s">
        <v>21</v>
      </c>
      <c r="N768" t="str">
        <f t="shared" si="55"/>
        <v>West-Eve</v>
      </c>
      <c r="O768">
        <f t="shared" si="56"/>
        <v>51925.500000000007</v>
      </c>
      <c r="P768">
        <f t="shared" si="57"/>
        <v>66840.3</v>
      </c>
      <c r="Q768">
        <f t="shared" si="58"/>
        <v>14914.799999999996</v>
      </c>
      <c r="R768">
        <f t="shared" si="59"/>
        <v>22.314082970902277</v>
      </c>
    </row>
    <row r="769" spans="1:18" x14ac:dyDescent="0.35">
      <c r="A769">
        <v>1063</v>
      </c>
      <c r="B769" s="1">
        <v>45204</v>
      </c>
      <c r="C769" t="s">
        <v>33</v>
      </c>
      <c r="D769" t="s">
        <v>23</v>
      </c>
      <c r="E769">
        <v>7859.01</v>
      </c>
      <c r="F769">
        <v>27</v>
      </c>
      <c r="G769" t="s">
        <v>24</v>
      </c>
      <c r="H769">
        <v>2069.08</v>
      </c>
      <c r="I769">
        <v>2246.2399999999998</v>
      </c>
      <c r="J769" t="s">
        <v>27</v>
      </c>
      <c r="K769">
        <v>0.06</v>
      </c>
      <c r="L769" t="s">
        <v>25</v>
      </c>
      <c r="M769" t="s">
        <v>21</v>
      </c>
      <c r="N769" t="str">
        <f t="shared" si="55"/>
        <v>South-Alice</v>
      </c>
      <c r="O769">
        <f t="shared" si="56"/>
        <v>55865.159999999996</v>
      </c>
      <c r="P769">
        <f t="shared" si="57"/>
        <v>60648.479999999996</v>
      </c>
      <c r="Q769">
        <f t="shared" si="58"/>
        <v>4783.32</v>
      </c>
      <c r="R769">
        <f t="shared" si="59"/>
        <v>7.8869577605242531</v>
      </c>
    </row>
    <row r="770" spans="1:18" x14ac:dyDescent="0.35">
      <c r="A770">
        <v>1017</v>
      </c>
      <c r="B770" s="1">
        <v>45122</v>
      </c>
      <c r="C770" t="s">
        <v>22</v>
      </c>
      <c r="D770" t="s">
        <v>15</v>
      </c>
      <c r="E770">
        <v>5705.19</v>
      </c>
      <c r="F770">
        <v>23</v>
      </c>
      <c r="G770" t="s">
        <v>31</v>
      </c>
      <c r="H770">
        <v>1771.52</v>
      </c>
      <c r="I770">
        <v>2147.8000000000002</v>
      </c>
      <c r="J770" t="s">
        <v>27</v>
      </c>
      <c r="K770">
        <v>7.0000000000000007E-2</v>
      </c>
      <c r="L770" t="s">
        <v>25</v>
      </c>
      <c r="M770" t="s">
        <v>19</v>
      </c>
      <c r="N770" t="str">
        <f t="shared" si="55"/>
        <v>North-David</v>
      </c>
      <c r="O770">
        <f t="shared" si="56"/>
        <v>40744.959999999999</v>
      </c>
      <c r="P770">
        <f t="shared" si="57"/>
        <v>49399.4</v>
      </c>
      <c r="Q770">
        <f t="shared" si="58"/>
        <v>8654.4400000000023</v>
      </c>
      <c r="R770">
        <f t="shared" si="59"/>
        <v>17.519322097029523</v>
      </c>
    </row>
    <row r="771" spans="1:18" x14ac:dyDescent="0.35">
      <c r="A771">
        <v>1073</v>
      </c>
      <c r="B771" s="1">
        <v>45278</v>
      </c>
      <c r="C771" t="s">
        <v>32</v>
      </c>
      <c r="D771" t="s">
        <v>20</v>
      </c>
      <c r="E771">
        <v>3196.5</v>
      </c>
      <c r="F771">
        <v>40</v>
      </c>
      <c r="G771" t="s">
        <v>24</v>
      </c>
      <c r="H771">
        <v>157.15</v>
      </c>
      <c r="I771">
        <v>436.53</v>
      </c>
      <c r="J771" t="s">
        <v>27</v>
      </c>
      <c r="K771">
        <v>0.04</v>
      </c>
      <c r="L771" t="s">
        <v>18</v>
      </c>
      <c r="M771" t="s">
        <v>21</v>
      </c>
      <c r="N771" t="str">
        <f t="shared" ref="N771:N834" si="60">D771 &amp; "-" &amp; C771</f>
        <v>West-Eve</v>
      </c>
      <c r="O771">
        <f t="shared" ref="O771:O834" si="61">F771*H771</f>
        <v>6286</v>
      </c>
      <c r="P771">
        <f t="shared" ref="P771:P834" si="62">F771*I771</f>
        <v>17461.199999999997</v>
      </c>
      <c r="Q771">
        <f t="shared" ref="Q771:Q834" si="63">P771-O771</f>
        <v>11175.199999999997</v>
      </c>
      <c r="R771">
        <f t="shared" ref="R771:R834" si="64">(Q771/P771)*100</f>
        <v>64.000183263464123</v>
      </c>
    </row>
    <row r="772" spans="1:18" x14ac:dyDescent="0.35">
      <c r="A772">
        <v>1033</v>
      </c>
      <c r="B772" s="1">
        <v>45168</v>
      </c>
      <c r="C772" t="s">
        <v>14</v>
      </c>
      <c r="D772" t="s">
        <v>30</v>
      </c>
      <c r="E772">
        <v>6577.99</v>
      </c>
      <c r="F772">
        <v>14</v>
      </c>
      <c r="G772" t="s">
        <v>24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21</v>
      </c>
      <c r="N772" t="str">
        <f t="shared" si="60"/>
        <v>East-Bob</v>
      </c>
      <c r="O772">
        <f t="shared" si="61"/>
        <v>7060.2</v>
      </c>
      <c r="P772">
        <f t="shared" si="62"/>
        <v>10303.300000000001</v>
      </c>
      <c r="Q772">
        <f t="shared" si="63"/>
        <v>3243.1000000000013</v>
      </c>
      <c r="R772">
        <f t="shared" si="64"/>
        <v>31.476323119777167</v>
      </c>
    </row>
    <row r="773" spans="1:18" x14ac:dyDescent="0.35">
      <c r="A773">
        <v>1084</v>
      </c>
      <c r="B773" s="1">
        <v>45250</v>
      </c>
      <c r="C773" t="s">
        <v>14</v>
      </c>
      <c r="D773" t="s">
        <v>23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27</v>
      </c>
      <c r="K773">
        <v>0.02</v>
      </c>
      <c r="L773" t="s">
        <v>18</v>
      </c>
      <c r="M773" t="s">
        <v>19</v>
      </c>
      <c r="N773" t="str">
        <f t="shared" si="60"/>
        <v>South-Bob</v>
      </c>
      <c r="O773">
        <f t="shared" si="61"/>
        <v>51310.799999999996</v>
      </c>
      <c r="P773">
        <f t="shared" si="62"/>
        <v>52706.1</v>
      </c>
      <c r="Q773">
        <f t="shared" si="63"/>
        <v>1395.3000000000029</v>
      </c>
      <c r="R773">
        <f t="shared" si="64"/>
        <v>2.6473216572654836</v>
      </c>
    </row>
    <row r="774" spans="1:18" x14ac:dyDescent="0.35">
      <c r="A774">
        <v>1077</v>
      </c>
      <c r="B774" s="1">
        <v>45145</v>
      </c>
      <c r="C774" t="s">
        <v>29</v>
      </c>
      <c r="D774" t="s">
        <v>30</v>
      </c>
      <c r="E774">
        <v>242.38</v>
      </c>
      <c r="F774">
        <v>43</v>
      </c>
      <c r="G774" t="s">
        <v>24</v>
      </c>
      <c r="H774">
        <v>4402.66</v>
      </c>
      <c r="I774">
        <v>4724.7</v>
      </c>
      <c r="J774" t="s">
        <v>27</v>
      </c>
      <c r="K774">
        <v>0.1</v>
      </c>
      <c r="L774" t="s">
        <v>25</v>
      </c>
      <c r="M774" t="s">
        <v>21</v>
      </c>
      <c r="N774" t="str">
        <f t="shared" si="60"/>
        <v>East-Charlie</v>
      </c>
      <c r="O774">
        <f t="shared" si="61"/>
        <v>189314.38</v>
      </c>
      <c r="P774">
        <f t="shared" si="62"/>
        <v>203162.1</v>
      </c>
      <c r="Q774">
        <f t="shared" si="63"/>
        <v>13847.720000000001</v>
      </c>
      <c r="R774">
        <f t="shared" si="64"/>
        <v>6.8160941435435056</v>
      </c>
    </row>
    <row r="775" spans="1:18" x14ac:dyDescent="0.35">
      <c r="A775">
        <v>1092</v>
      </c>
      <c r="B775" s="1">
        <v>45118</v>
      </c>
      <c r="C775" t="s">
        <v>32</v>
      </c>
      <c r="D775" t="s">
        <v>30</v>
      </c>
      <c r="E775">
        <v>7667.1</v>
      </c>
      <c r="F775">
        <v>33</v>
      </c>
      <c r="G775" t="s">
        <v>31</v>
      </c>
      <c r="H775">
        <v>2595.42</v>
      </c>
      <c r="I775">
        <v>3083.06</v>
      </c>
      <c r="J775" t="s">
        <v>27</v>
      </c>
      <c r="K775">
        <v>0.08</v>
      </c>
      <c r="L775" t="s">
        <v>28</v>
      </c>
      <c r="M775" t="s">
        <v>19</v>
      </c>
      <c r="N775" t="str">
        <f t="shared" si="60"/>
        <v>East-Eve</v>
      </c>
      <c r="O775">
        <f t="shared" si="61"/>
        <v>85648.86</v>
      </c>
      <c r="P775">
        <f t="shared" si="62"/>
        <v>101740.98</v>
      </c>
      <c r="Q775">
        <f t="shared" si="63"/>
        <v>16092.119999999995</v>
      </c>
      <c r="R775">
        <f t="shared" si="64"/>
        <v>15.816753485173818</v>
      </c>
    </row>
    <row r="776" spans="1:18" x14ac:dyDescent="0.35">
      <c r="A776">
        <v>1029</v>
      </c>
      <c r="B776" s="1">
        <v>44943</v>
      </c>
      <c r="C776" t="s">
        <v>29</v>
      </c>
      <c r="D776" t="s">
        <v>15</v>
      </c>
      <c r="E776">
        <v>6275.06</v>
      </c>
      <c r="F776">
        <v>31</v>
      </c>
      <c r="G776" t="s">
        <v>31</v>
      </c>
      <c r="H776">
        <v>2719</v>
      </c>
      <c r="I776">
        <v>3133.55</v>
      </c>
      <c r="J776" t="s">
        <v>17</v>
      </c>
      <c r="K776">
        <v>0.17</v>
      </c>
      <c r="L776" t="s">
        <v>25</v>
      </c>
      <c r="M776" t="s">
        <v>21</v>
      </c>
      <c r="N776" t="str">
        <f t="shared" si="60"/>
        <v>North-Charlie</v>
      </c>
      <c r="O776">
        <f t="shared" si="61"/>
        <v>84289</v>
      </c>
      <c r="P776">
        <f t="shared" si="62"/>
        <v>97140.05</v>
      </c>
      <c r="Q776">
        <f t="shared" si="63"/>
        <v>12851.050000000003</v>
      </c>
      <c r="R776">
        <f t="shared" si="64"/>
        <v>13.229404349699225</v>
      </c>
    </row>
    <row r="777" spans="1:18" x14ac:dyDescent="0.35">
      <c r="A777">
        <v>1013</v>
      </c>
      <c r="B777" s="1">
        <v>44938</v>
      </c>
      <c r="C777" t="s">
        <v>33</v>
      </c>
      <c r="D777" t="s">
        <v>20</v>
      </c>
      <c r="E777">
        <v>7646.8</v>
      </c>
      <c r="F777">
        <v>35</v>
      </c>
      <c r="G777" t="s">
        <v>31</v>
      </c>
      <c r="H777">
        <v>1312.71</v>
      </c>
      <c r="I777">
        <v>1352.11</v>
      </c>
      <c r="J777" t="s">
        <v>17</v>
      </c>
      <c r="K777">
        <v>0.22</v>
      </c>
      <c r="L777" t="s">
        <v>25</v>
      </c>
      <c r="M777" t="s">
        <v>21</v>
      </c>
      <c r="N777" t="str">
        <f t="shared" si="60"/>
        <v>West-Alice</v>
      </c>
      <c r="O777">
        <f t="shared" si="61"/>
        <v>45944.85</v>
      </c>
      <c r="P777">
        <f t="shared" si="62"/>
        <v>47323.85</v>
      </c>
      <c r="Q777">
        <f t="shared" si="63"/>
        <v>1379</v>
      </c>
      <c r="R777">
        <f t="shared" si="64"/>
        <v>2.9139641005539492</v>
      </c>
    </row>
    <row r="778" spans="1:18" x14ac:dyDescent="0.35">
      <c r="A778">
        <v>1046</v>
      </c>
      <c r="B778" s="1">
        <v>45119</v>
      </c>
      <c r="C778" t="s">
        <v>32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28</v>
      </c>
      <c r="M778" t="s">
        <v>19</v>
      </c>
      <c r="N778" t="str">
        <f t="shared" si="60"/>
        <v>North-Eve</v>
      </c>
      <c r="O778">
        <f t="shared" si="61"/>
        <v>65466.829999999994</v>
      </c>
      <c r="P778">
        <f t="shared" si="62"/>
        <v>68770.779999999839</v>
      </c>
      <c r="Q778">
        <f t="shared" si="63"/>
        <v>3303.9499999998443</v>
      </c>
      <c r="R778">
        <f t="shared" si="64"/>
        <v>4.8042933350470243</v>
      </c>
    </row>
    <row r="779" spans="1:18" x14ac:dyDescent="0.35">
      <c r="A779">
        <v>1035</v>
      </c>
      <c r="B779" s="1">
        <v>44948</v>
      </c>
      <c r="C779" t="s">
        <v>33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27</v>
      </c>
      <c r="K779">
        <v>0.28000000000000003</v>
      </c>
      <c r="L779" t="s">
        <v>28</v>
      </c>
      <c r="M779" t="s">
        <v>21</v>
      </c>
      <c r="N779" t="str">
        <f t="shared" si="60"/>
        <v>North-Alice</v>
      </c>
      <c r="O779">
        <f t="shared" si="61"/>
        <v>105598.64</v>
      </c>
      <c r="P779">
        <f t="shared" si="62"/>
        <v>118577.76000000001</v>
      </c>
      <c r="Q779">
        <f t="shared" si="63"/>
        <v>12979.12000000001</v>
      </c>
      <c r="R779">
        <f t="shared" si="64"/>
        <v>10.945661311193607</v>
      </c>
    </row>
    <row r="780" spans="1:18" x14ac:dyDescent="0.35">
      <c r="A780">
        <v>1006</v>
      </c>
      <c r="B780" s="1">
        <v>45046</v>
      </c>
      <c r="C780" t="s">
        <v>29</v>
      </c>
      <c r="D780" t="s">
        <v>15</v>
      </c>
      <c r="E780">
        <v>6233.31</v>
      </c>
      <c r="F780">
        <v>19</v>
      </c>
      <c r="G780" t="s">
        <v>26</v>
      </c>
      <c r="H780">
        <v>2962.41</v>
      </c>
      <c r="I780">
        <v>3218.8999999999901</v>
      </c>
      <c r="J780" t="s">
        <v>27</v>
      </c>
      <c r="K780">
        <v>0.28999999999999998</v>
      </c>
      <c r="L780" t="s">
        <v>18</v>
      </c>
      <c r="M780" t="s">
        <v>21</v>
      </c>
      <c r="N780" t="str">
        <f t="shared" si="60"/>
        <v>North-Charlie</v>
      </c>
      <c r="O780">
        <f t="shared" si="61"/>
        <v>56285.789999999994</v>
      </c>
      <c r="P780">
        <f t="shared" si="62"/>
        <v>61159.099999999809</v>
      </c>
      <c r="Q780">
        <f t="shared" si="63"/>
        <v>4873.3099999998158</v>
      </c>
      <c r="R780">
        <f t="shared" si="64"/>
        <v>7.9682500232996087</v>
      </c>
    </row>
    <row r="781" spans="1:18" x14ac:dyDescent="0.35">
      <c r="A781">
        <v>1082</v>
      </c>
      <c r="B781" s="1">
        <v>45136</v>
      </c>
      <c r="C781" t="s">
        <v>32</v>
      </c>
      <c r="D781" t="s">
        <v>30</v>
      </c>
      <c r="E781">
        <v>5677.61</v>
      </c>
      <c r="F781">
        <v>46</v>
      </c>
      <c r="G781" t="s">
        <v>24</v>
      </c>
      <c r="H781">
        <v>1102.69</v>
      </c>
      <c r="I781">
        <v>1437.12</v>
      </c>
      <c r="J781" t="s">
        <v>27</v>
      </c>
      <c r="K781">
        <v>0.11</v>
      </c>
      <c r="L781" t="s">
        <v>28</v>
      </c>
      <c r="M781" t="s">
        <v>19</v>
      </c>
      <c r="N781" t="str">
        <f t="shared" si="60"/>
        <v>East-Eve</v>
      </c>
      <c r="O781">
        <f t="shared" si="61"/>
        <v>50723.740000000005</v>
      </c>
      <c r="P781">
        <f t="shared" si="62"/>
        <v>66107.51999999999</v>
      </c>
      <c r="Q781">
        <f t="shared" si="63"/>
        <v>15383.779999999984</v>
      </c>
      <c r="R781">
        <f t="shared" si="64"/>
        <v>23.270847250055645</v>
      </c>
    </row>
    <row r="782" spans="1:18" x14ac:dyDescent="0.35">
      <c r="A782">
        <v>1069</v>
      </c>
      <c r="B782" s="1">
        <v>45232</v>
      </c>
      <c r="C782" t="s">
        <v>29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28</v>
      </c>
      <c r="M782" t="s">
        <v>19</v>
      </c>
      <c r="N782" t="str">
        <f t="shared" si="60"/>
        <v>North-Charlie</v>
      </c>
      <c r="O782">
        <f t="shared" si="61"/>
        <v>12195.52</v>
      </c>
      <c r="P782">
        <f t="shared" si="62"/>
        <v>22710.43</v>
      </c>
      <c r="Q782">
        <f t="shared" si="63"/>
        <v>10514.91</v>
      </c>
      <c r="R782">
        <f t="shared" si="64"/>
        <v>46.299915941706075</v>
      </c>
    </row>
    <row r="783" spans="1:18" x14ac:dyDescent="0.35">
      <c r="A783">
        <v>1047</v>
      </c>
      <c r="B783" s="1">
        <v>45196</v>
      </c>
      <c r="C783" t="s">
        <v>32</v>
      </c>
      <c r="D783" t="s">
        <v>15</v>
      </c>
      <c r="E783">
        <v>8657.89</v>
      </c>
      <c r="F783">
        <v>32</v>
      </c>
      <c r="G783" t="s">
        <v>31</v>
      </c>
      <c r="H783">
        <v>367.98</v>
      </c>
      <c r="I783">
        <v>806.14</v>
      </c>
      <c r="J783" t="s">
        <v>17</v>
      </c>
      <c r="K783">
        <v>0.22</v>
      </c>
      <c r="L783" t="s">
        <v>28</v>
      </c>
      <c r="M783" t="s">
        <v>21</v>
      </c>
      <c r="N783" t="str">
        <f t="shared" si="60"/>
        <v>North-Eve</v>
      </c>
      <c r="O783">
        <f t="shared" si="61"/>
        <v>11775.36</v>
      </c>
      <c r="P783">
        <f t="shared" si="62"/>
        <v>25796.48</v>
      </c>
      <c r="Q783">
        <f t="shared" si="63"/>
        <v>14021.119999999999</v>
      </c>
      <c r="R783">
        <f t="shared" si="64"/>
        <v>54.352841938124882</v>
      </c>
    </row>
    <row r="784" spans="1:18" x14ac:dyDescent="0.35">
      <c r="A784">
        <v>1025</v>
      </c>
      <c r="B784" s="1">
        <v>45118</v>
      </c>
      <c r="C784" t="s">
        <v>29</v>
      </c>
      <c r="D784" t="s">
        <v>20</v>
      </c>
      <c r="E784">
        <v>5910.67</v>
      </c>
      <c r="F784">
        <v>40</v>
      </c>
      <c r="G784" t="s">
        <v>31</v>
      </c>
      <c r="H784">
        <v>2983.85</v>
      </c>
      <c r="I784">
        <v>3239.74</v>
      </c>
      <c r="J784" t="s">
        <v>27</v>
      </c>
      <c r="K784">
        <v>0.27</v>
      </c>
      <c r="L784" t="s">
        <v>28</v>
      </c>
      <c r="M784" t="s">
        <v>19</v>
      </c>
      <c r="N784" t="str">
        <f t="shared" si="60"/>
        <v>West-Charlie</v>
      </c>
      <c r="O784">
        <f t="shared" si="61"/>
        <v>119354</v>
      </c>
      <c r="P784">
        <f t="shared" si="62"/>
        <v>129589.59999999999</v>
      </c>
      <c r="Q784">
        <f t="shared" si="63"/>
        <v>10235.599999999991</v>
      </c>
      <c r="R784">
        <f t="shared" si="64"/>
        <v>7.8984733342799052</v>
      </c>
    </row>
    <row r="785" spans="1:18" x14ac:dyDescent="0.35">
      <c r="A785">
        <v>1066</v>
      </c>
      <c r="B785" s="1">
        <v>45101</v>
      </c>
      <c r="C785" t="s">
        <v>14</v>
      </c>
      <c r="D785" t="s">
        <v>20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27</v>
      </c>
      <c r="K785">
        <v>0.13</v>
      </c>
      <c r="L785" t="s">
        <v>18</v>
      </c>
      <c r="M785" t="s">
        <v>21</v>
      </c>
      <c r="N785" t="str">
        <f t="shared" si="60"/>
        <v>West-Bob</v>
      </c>
      <c r="O785">
        <f t="shared" si="61"/>
        <v>53740.959999999999</v>
      </c>
      <c r="P785">
        <f t="shared" si="62"/>
        <v>56658.81</v>
      </c>
      <c r="Q785">
        <f t="shared" si="63"/>
        <v>2917.8499999999985</v>
      </c>
      <c r="R785">
        <f t="shared" si="64"/>
        <v>5.1498610719144979</v>
      </c>
    </row>
    <row r="786" spans="1:18" x14ac:dyDescent="0.35">
      <c r="A786">
        <v>1010</v>
      </c>
      <c r="B786" s="1">
        <v>45211</v>
      </c>
      <c r="C786" t="s">
        <v>29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tr">
        <f t="shared" si="60"/>
        <v>North-Charlie</v>
      </c>
      <c r="O786">
        <f t="shared" si="61"/>
        <v>85974.799999999988</v>
      </c>
      <c r="P786">
        <f t="shared" si="62"/>
        <v>89503.799999999988</v>
      </c>
      <c r="Q786">
        <f t="shared" si="63"/>
        <v>3529</v>
      </c>
      <c r="R786">
        <f t="shared" si="64"/>
        <v>3.9428493538821821</v>
      </c>
    </row>
    <row r="787" spans="1:18" x14ac:dyDescent="0.35">
      <c r="A787">
        <v>1056</v>
      </c>
      <c r="B787" s="1">
        <v>45130</v>
      </c>
      <c r="C787" t="s">
        <v>14</v>
      </c>
      <c r="D787" t="s">
        <v>20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27</v>
      </c>
      <c r="K787">
        <v>0.12</v>
      </c>
      <c r="L787" t="s">
        <v>28</v>
      </c>
      <c r="M787" t="s">
        <v>21</v>
      </c>
      <c r="N787" t="str">
        <f t="shared" si="60"/>
        <v>West-Bob</v>
      </c>
      <c r="O787">
        <f t="shared" si="61"/>
        <v>82072.549999999988</v>
      </c>
      <c r="P787">
        <f t="shared" si="62"/>
        <v>94753.75</v>
      </c>
      <c r="Q787">
        <f t="shared" si="63"/>
        <v>12681.200000000012</v>
      </c>
      <c r="R787">
        <f t="shared" si="64"/>
        <v>13.383322559793159</v>
      </c>
    </row>
    <row r="788" spans="1:18" x14ac:dyDescent="0.35">
      <c r="A788">
        <v>1030</v>
      </c>
      <c r="B788" s="1">
        <v>45090</v>
      </c>
      <c r="C788" t="s">
        <v>29</v>
      </c>
      <c r="D788" t="s">
        <v>20</v>
      </c>
      <c r="E788">
        <v>4478.71</v>
      </c>
      <c r="F788">
        <v>5</v>
      </c>
      <c r="G788" t="s">
        <v>26</v>
      </c>
      <c r="H788">
        <v>3932.14</v>
      </c>
      <c r="I788">
        <v>4082.7599999999902</v>
      </c>
      <c r="J788" t="s">
        <v>27</v>
      </c>
      <c r="K788">
        <v>0.26</v>
      </c>
      <c r="L788" t="s">
        <v>28</v>
      </c>
      <c r="M788" t="s">
        <v>19</v>
      </c>
      <c r="N788" t="str">
        <f t="shared" si="60"/>
        <v>West-Charlie</v>
      </c>
      <c r="O788">
        <f t="shared" si="61"/>
        <v>19660.7</v>
      </c>
      <c r="P788">
        <f t="shared" si="62"/>
        <v>20413.799999999952</v>
      </c>
      <c r="Q788">
        <f t="shared" si="63"/>
        <v>753.09999999995125</v>
      </c>
      <c r="R788">
        <f t="shared" si="64"/>
        <v>3.6891710509554962</v>
      </c>
    </row>
    <row r="789" spans="1:18" x14ac:dyDescent="0.35">
      <c r="A789">
        <v>1005</v>
      </c>
      <c r="B789" s="1">
        <v>45177</v>
      </c>
      <c r="C789" t="s">
        <v>32</v>
      </c>
      <c r="D789" t="s">
        <v>15</v>
      </c>
      <c r="E789">
        <v>7103.23</v>
      </c>
      <c r="F789">
        <v>9</v>
      </c>
      <c r="G789" t="s">
        <v>31</v>
      </c>
      <c r="H789">
        <v>4737.0600000000004</v>
      </c>
      <c r="I789">
        <v>4869.5</v>
      </c>
      <c r="J789" t="s">
        <v>27</v>
      </c>
      <c r="K789">
        <v>7.0000000000000007E-2</v>
      </c>
      <c r="L789" t="s">
        <v>18</v>
      </c>
      <c r="M789" t="s">
        <v>19</v>
      </c>
      <c r="N789" t="str">
        <f t="shared" si="60"/>
        <v>North-Eve</v>
      </c>
      <c r="O789">
        <f t="shared" si="61"/>
        <v>42633.54</v>
      </c>
      <c r="P789">
        <f t="shared" si="62"/>
        <v>43825.5</v>
      </c>
      <c r="Q789">
        <f t="shared" si="63"/>
        <v>1191.9599999999991</v>
      </c>
      <c r="R789">
        <f t="shared" si="64"/>
        <v>2.7197864257110567</v>
      </c>
    </row>
    <row r="790" spans="1:18" x14ac:dyDescent="0.35">
      <c r="A790">
        <v>1033</v>
      </c>
      <c r="B790" s="1">
        <v>45153</v>
      </c>
      <c r="C790" t="s">
        <v>32</v>
      </c>
      <c r="D790" t="s">
        <v>30</v>
      </c>
      <c r="E790">
        <v>3953.38</v>
      </c>
      <c r="F790">
        <v>29</v>
      </c>
      <c r="G790" t="s">
        <v>26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tr">
        <f t="shared" si="60"/>
        <v>East-Eve</v>
      </c>
      <c r="O790">
        <f t="shared" si="61"/>
        <v>40950.61</v>
      </c>
      <c r="P790">
        <f t="shared" si="62"/>
        <v>46302.849999999715</v>
      </c>
      <c r="Q790">
        <f t="shared" si="63"/>
        <v>5352.2399999997142</v>
      </c>
      <c r="R790">
        <f t="shared" si="64"/>
        <v>11.559202079353101</v>
      </c>
    </row>
    <row r="791" spans="1:18" x14ac:dyDescent="0.35">
      <c r="A791">
        <v>1065</v>
      </c>
      <c r="B791" s="1">
        <v>44933</v>
      </c>
      <c r="C791" t="s">
        <v>32</v>
      </c>
      <c r="D791" t="s">
        <v>15</v>
      </c>
      <c r="E791">
        <v>2365.87</v>
      </c>
      <c r="F791">
        <v>6</v>
      </c>
      <c r="G791" t="s">
        <v>26</v>
      </c>
      <c r="H791">
        <v>2019.9</v>
      </c>
      <c r="I791">
        <v>2116.7399999999998</v>
      </c>
      <c r="J791" t="s">
        <v>27</v>
      </c>
      <c r="K791">
        <v>0.11</v>
      </c>
      <c r="L791" t="s">
        <v>28</v>
      </c>
      <c r="M791" t="s">
        <v>19</v>
      </c>
      <c r="N791" t="str">
        <f t="shared" si="60"/>
        <v>North-Eve</v>
      </c>
      <c r="O791">
        <f t="shared" si="61"/>
        <v>12119.400000000001</v>
      </c>
      <c r="P791">
        <f t="shared" si="62"/>
        <v>12700.439999999999</v>
      </c>
      <c r="Q791">
        <f t="shared" si="63"/>
        <v>581.03999999999724</v>
      </c>
      <c r="R791">
        <f t="shared" si="64"/>
        <v>4.5749596076986094</v>
      </c>
    </row>
    <row r="792" spans="1:18" x14ac:dyDescent="0.35">
      <c r="A792">
        <v>1018</v>
      </c>
      <c r="B792" s="1">
        <v>44955</v>
      </c>
      <c r="C792" t="s">
        <v>22</v>
      </c>
      <c r="D792" t="s">
        <v>20</v>
      </c>
      <c r="E792">
        <v>6008.83</v>
      </c>
      <c r="F792">
        <v>25</v>
      </c>
      <c r="G792" t="s">
        <v>24</v>
      </c>
      <c r="H792">
        <v>4660.82</v>
      </c>
      <c r="I792">
        <v>5011.4299999999903</v>
      </c>
      <c r="J792" t="s">
        <v>27</v>
      </c>
      <c r="K792">
        <v>7.0000000000000007E-2</v>
      </c>
      <c r="L792" t="s">
        <v>25</v>
      </c>
      <c r="M792" t="s">
        <v>19</v>
      </c>
      <c r="N792" t="str">
        <f t="shared" si="60"/>
        <v>West-David</v>
      </c>
      <c r="O792">
        <f t="shared" si="61"/>
        <v>116520.5</v>
      </c>
      <c r="P792">
        <f t="shared" si="62"/>
        <v>125285.74999999975</v>
      </c>
      <c r="Q792">
        <f t="shared" si="63"/>
        <v>8765.2499999997526</v>
      </c>
      <c r="R792">
        <f t="shared" si="64"/>
        <v>6.9962066715486566</v>
      </c>
    </row>
    <row r="793" spans="1:18" x14ac:dyDescent="0.35">
      <c r="A793">
        <v>1096</v>
      </c>
      <c r="B793" s="1">
        <v>44959</v>
      </c>
      <c r="C793" t="s">
        <v>33</v>
      </c>
      <c r="D793" t="s">
        <v>30</v>
      </c>
      <c r="E793">
        <v>9289</v>
      </c>
      <c r="F793">
        <v>31</v>
      </c>
      <c r="G793" t="s">
        <v>31</v>
      </c>
      <c r="H793">
        <v>1724.24</v>
      </c>
      <c r="I793">
        <v>2036.2</v>
      </c>
      <c r="J793" t="s">
        <v>27</v>
      </c>
      <c r="K793">
        <v>0.17</v>
      </c>
      <c r="L793" t="s">
        <v>18</v>
      </c>
      <c r="M793" t="s">
        <v>19</v>
      </c>
      <c r="N793" t="str">
        <f t="shared" si="60"/>
        <v>East-Alice</v>
      </c>
      <c r="O793">
        <f t="shared" si="61"/>
        <v>53451.44</v>
      </c>
      <c r="P793">
        <f t="shared" si="62"/>
        <v>63122.200000000004</v>
      </c>
      <c r="Q793">
        <f t="shared" si="63"/>
        <v>9670.760000000002</v>
      </c>
      <c r="R793">
        <f t="shared" si="64"/>
        <v>15.320695413024263</v>
      </c>
    </row>
    <row r="794" spans="1:18" x14ac:dyDescent="0.35">
      <c r="A794">
        <v>1049</v>
      </c>
      <c r="B794" s="1">
        <v>45060</v>
      </c>
      <c r="C794" t="s">
        <v>32</v>
      </c>
      <c r="D794" t="s">
        <v>23</v>
      </c>
      <c r="E794">
        <v>9298.48</v>
      </c>
      <c r="F794">
        <v>22</v>
      </c>
      <c r="G794" t="s">
        <v>31</v>
      </c>
      <c r="H794">
        <v>4573.6899999999996</v>
      </c>
      <c r="I794">
        <v>4820.2999999999902</v>
      </c>
      <c r="J794" t="s">
        <v>27</v>
      </c>
      <c r="K794">
        <v>0.04</v>
      </c>
      <c r="L794" t="s">
        <v>18</v>
      </c>
      <c r="M794" t="s">
        <v>19</v>
      </c>
      <c r="N794" t="str">
        <f t="shared" si="60"/>
        <v>South-Eve</v>
      </c>
      <c r="O794">
        <f t="shared" si="61"/>
        <v>100621.18</v>
      </c>
      <c r="P794">
        <f t="shared" si="62"/>
        <v>106046.59999999979</v>
      </c>
      <c r="Q794">
        <f t="shared" si="63"/>
        <v>5425.4199999997945</v>
      </c>
      <c r="R794">
        <f t="shared" si="64"/>
        <v>5.1160716137997868</v>
      </c>
    </row>
    <row r="795" spans="1:18" x14ac:dyDescent="0.35">
      <c r="A795">
        <v>1011</v>
      </c>
      <c r="B795" s="1">
        <v>45005</v>
      </c>
      <c r="C795" t="s">
        <v>14</v>
      </c>
      <c r="D795" t="s">
        <v>30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tr">
        <f t="shared" si="60"/>
        <v>East-Bob</v>
      </c>
      <c r="O795">
        <f t="shared" si="61"/>
        <v>9812.34</v>
      </c>
      <c r="P795">
        <f t="shared" si="62"/>
        <v>10214.86</v>
      </c>
      <c r="Q795">
        <f t="shared" si="63"/>
        <v>402.52000000000044</v>
      </c>
      <c r="R795">
        <f t="shared" si="64"/>
        <v>3.9405336930706873</v>
      </c>
    </row>
    <row r="796" spans="1:18" x14ac:dyDescent="0.35">
      <c r="A796">
        <v>1085</v>
      </c>
      <c r="B796" s="1">
        <v>44984</v>
      </c>
      <c r="C796" t="s">
        <v>32</v>
      </c>
      <c r="D796" t="s">
        <v>20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28</v>
      </c>
      <c r="M796" t="s">
        <v>19</v>
      </c>
      <c r="N796" t="str">
        <f t="shared" si="60"/>
        <v>West-Eve</v>
      </c>
      <c r="O796">
        <f t="shared" si="61"/>
        <v>149668.20000000001</v>
      </c>
      <c r="P796">
        <f t="shared" si="62"/>
        <v>170163</v>
      </c>
      <c r="Q796">
        <f t="shared" si="63"/>
        <v>20494.799999999988</v>
      </c>
      <c r="R796">
        <f t="shared" si="64"/>
        <v>12.044216427778064</v>
      </c>
    </row>
    <row r="797" spans="1:18" x14ac:dyDescent="0.35">
      <c r="A797">
        <v>1026</v>
      </c>
      <c r="B797" s="1">
        <v>44952</v>
      </c>
      <c r="C797" t="s">
        <v>22</v>
      </c>
      <c r="D797" t="s">
        <v>30</v>
      </c>
      <c r="E797">
        <v>2195.1999999999998</v>
      </c>
      <c r="F797">
        <v>5</v>
      </c>
      <c r="G797" t="s">
        <v>24</v>
      </c>
      <c r="H797">
        <v>4093.61</v>
      </c>
      <c r="I797">
        <v>4117.88</v>
      </c>
      <c r="J797" t="s">
        <v>17</v>
      </c>
      <c r="K797">
        <v>0.12</v>
      </c>
      <c r="L797" t="s">
        <v>28</v>
      </c>
      <c r="M797" t="s">
        <v>21</v>
      </c>
      <c r="N797" t="str">
        <f t="shared" si="60"/>
        <v>East-David</v>
      </c>
      <c r="O797">
        <f t="shared" si="61"/>
        <v>20468.05</v>
      </c>
      <c r="P797">
        <f t="shared" si="62"/>
        <v>20589.400000000001</v>
      </c>
      <c r="Q797">
        <f t="shared" si="63"/>
        <v>121.35000000000218</v>
      </c>
      <c r="R797">
        <f t="shared" si="64"/>
        <v>0.5893809435923445</v>
      </c>
    </row>
    <row r="798" spans="1:18" x14ac:dyDescent="0.3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26</v>
      </c>
      <c r="H798">
        <v>3760.25</v>
      </c>
      <c r="I798">
        <v>4147.1099999999997</v>
      </c>
      <c r="J798" t="s">
        <v>27</v>
      </c>
      <c r="K798">
        <v>0.22</v>
      </c>
      <c r="L798" t="s">
        <v>18</v>
      </c>
      <c r="M798" t="s">
        <v>19</v>
      </c>
      <c r="N798" t="str">
        <f t="shared" si="60"/>
        <v>North-Bob</v>
      </c>
      <c r="O798">
        <f t="shared" si="61"/>
        <v>101526.75</v>
      </c>
      <c r="P798">
        <f t="shared" si="62"/>
        <v>111971.96999999999</v>
      </c>
      <c r="Q798">
        <f t="shared" si="63"/>
        <v>10445.219999999987</v>
      </c>
      <c r="R798">
        <f t="shared" si="64"/>
        <v>9.3284238903718375</v>
      </c>
    </row>
    <row r="799" spans="1:18" x14ac:dyDescent="0.35">
      <c r="A799">
        <v>1089</v>
      </c>
      <c r="B799" s="1">
        <v>45211</v>
      </c>
      <c r="C799" t="s">
        <v>22</v>
      </c>
      <c r="D799" t="s">
        <v>23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28</v>
      </c>
      <c r="M799" t="s">
        <v>21</v>
      </c>
      <c r="N799" t="str">
        <f t="shared" si="60"/>
        <v>South-David</v>
      </c>
      <c r="O799">
        <f t="shared" si="61"/>
        <v>87817.25</v>
      </c>
      <c r="P799">
        <f t="shared" si="62"/>
        <v>99115.75</v>
      </c>
      <c r="Q799">
        <f t="shared" si="63"/>
        <v>11298.5</v>
      </c>
      <c r="R799">
        <f t="shared" si="64"/>
        <v>11.399298295175084</v>
      </c>
    </row>
    <row r="800" spans="1:18" x14ac:dyDescent="0.35">
      <c r="A800">
        <v>1086</v>
      </c>
      <c r="B800" s="1">
        <v>44930</v>
      </c>
      <c r="C800" t="s">
        <v>14</v>
      </c>
      <c r="D800" t="s">
        <v>23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27</v>
      </c>
      <c r="K800">
        <v>7.0000000000000007E-2</v>
      </c>
      <c r="L800" t="s">
        <v>28</v>
      </c>
      <c r="M800" t="s">
        <v>19</v>
      </c>
      <c r="N800" t="str">
        <f t="shared" si="60"/>
        <v>South-Bob</v>
      </c>
      <c r="O800">
        <f t="shared" si="61"/>
        <v>12554.48</v>
      </c>
      <c r="P800">
        <f t="shared" si="62"/>
        <v>14384.16</v>
      </c>
      <c r="Q800">
        <f t="shared" si="63"/>
        <v>1829.6800000000003</v>
      </c>
      <c r="R800">
        <f t="shared" si="64"/>
        <v>12.720103224658239</v>
      </c>
    </row>
    <row r="801" spans="1:18" x14ac:dyDescent="0.35">
      <c r="A801">
        <v>1059</v>
      </c>
      <c r="B801" s="1">
        <v>45025</v>
      </c>
      <c r="C801" t="s">
        <v>29</v>
      </c>
      <c r="D801" t="s">
        <v>23</v>
      </c>
      <c r="E801">
        <v>8063.7</v>
      </c>
      <c r="F801">
        <v>1</v>
      </c>
      <c r="G801" t="s">
        <v>31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21</v>
      </c>
      <c r="N801" t="str">
        <f t="shared" si="60"/>
        <v>South-Charlie</v>
      </c>
      <c r="O801">
        <f t="shared" si="61"/>
        <v>332.62</v>
      </c>
      <c r="P801">
        <f t="shared" si="62"/>
        <v>612.46</v>
      </c>
      <c r="Q801">
        <f t="shared" si="63"/>
        <v>279.84000000000003</v>
      </c>
      <c r="R801">
        <f t="shared" si="64"/>
        <v>45.691147176958495</v>
      </c>
    </row>
    <row r="802" spans="1:18" x14ac:dyDescent="0.35">
      <c r="A802">
        <v>1027</v>
      </c>
      <c r="B802" s="1">
        <v>44965</v>
      </c>
      <c r="C802" t="s">
        <v>33</v>
      </c>
      <c r="D802" t="s">
        <v>20</v>
      </c>
      <c r="E802">
        <v>7179.49</v>
      </c>
      <c r="F802">
        <v>20</v>
      </c>
      <c r="G802" t="s">
        <v>31</v>
      </c>
      <c r="H802">
        <v>1748.11</v>
      </c>
      <c r="I802">
        <v>2220.9</v>
      </c>
      <c r="J802" t="s">
        <v>27</v>
      </c>
      <c r="K802">
        <v>0.23</v>
      </c>
      <c r="L802" t="s">
        <v>28</v>
      </c>
      <c r="M802" t="s">
        <v>21</v>
      </c>
      <c r="N802" t="str">
        <f t="shared" si="60"/>
        <v>West-Alice</v>
      </c>
      <c r="O802">
        <f t="shared" si="61"/>
        <v>34962.199999999997</v>
      </c>
      <c r="P802">
        <f t="shared" si="62"/>
        <v>44418</v>
      </c>
      <c r="Q802">
        <f t="shared" si="63"/>
        <v>9455.8000000000029</v>
      </c>
      <c r="R802">
        <f t="shared" si="64"/>
        <v>21.28821648881085</v>
      </c>
    </row>
    <row r="803" spans="1:18" x14ac:dyDescent="0.35">
      <c r="A803">
        <v>1049</v>
      </c>
      <c r="B803" s="1">
        <v>45197</v>
      </c>
      <c r="C803" t="s">
        <v>33</v>
      </c>
      <c r="D803" t="s">
        <v>20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25</v>
      </c>
      <c r="M803" t="s">
        <v>19</v>
      </c>
      <c r="N803" t="str">
        <f t="shared" si="60"/>
        <v>West-Alice</v>
      </c>
      <c r="O803">
        <f t="shared" si="61"/>
        <v>147458.51999999999</v>
      </c>
      <c r="P803">
        <f t="shared" si="62"/>
        <v>152475.4</v>
      </c>
      <c r="Q803">
        <f t="shared" si="63"/>
        <v>5016.8800000000047</v>
      </c>
      <c r="R803">
        <f t="shared" si="64"/>
        <v>3.2902881382832936</v>
      </c>
    </row>
    <row r="804" spans="1:18" x14ac:dyDescent="0.35">
      <c r="A804">
        <v>1077</v>
      </c>
      <c r="B804" s="1">
        <v>45211</v>
      </c>
      <c r="C804" t="s">
        <v>22</v>
      </c>
      <c r="D804" t="s">
        <v>23</v>
      </c>
      <c r="E804">
        <v>628.15</v>
      </c>
      <c r="F804">
        <v>23</v>
      </c>
      <c r="G804" t="s">
        <v>31</v>
      </c>
      <c r="H804">
        <v>557.52</v>
      </c>
      <c r="I804">
        <v>822.39</v>
      </c>
      <c r="J804" t="s">
        <v>17</v>
      </c>
      <c r="K804">
        <v>0.28999999999999998</v>
      </c>
      <c r="L804" t="s">
        <v>28</v>
      </c>
      <c r="M804" t="s">
        <v>19</v>
      </c>
      <c r="N804" t="str">
        <f t="shared" si="60"/>
        <v>South-David</v>
      </c>
      <c r="O804">
        <f t="shared" si="61"/>
        <v>12822.96</v>
      </c>
      <c r="P804">
        <f t="shared" si="62"/>
        <v>18914.97</v>
      </c>
      <c r="Q804">
        <f t="shared" si="63"/>
        <v>6092.010000000002</v>
      </c>
      <c r="R804">
        <f t="shared" si="64"/>
        <v>32.207346879217894</v>
      </c>
    </row>
    <row r="805" spans="1:18" x14ac:dyDescent="0.35">
      <c r="A805">
        <v>1033</v>
      </c>
      <c r="B805" s="1">
        <v>45083</v>
      </c>
      <c r="C805" t="s">
        <v>33</v>
      </c>
      <c r="D805" t="s">
        <v>30</v>
      </c>
      <c r="E805">
        <v>4602.17</v>
      </c>
      <c r="F805">
        <v>32</v>
      </c>
      <c r="G805" t="s">
        <v>24</v>
      </c>
      <c r="H805">
        <v>108.99</v>
      </c>
      <c r="I805">
        <v>351.6</v>
      </c>
      <c r="J805" t="s">
        <v>17</v>
      </c>
      <c r="K805">
        <v>0.27</v>
      </c>
      <c r="L805" t="s">
        <v>28</v>
      </c>
      <c r="M805" t="s">
        <v>21</v>
      </c>
      <c r="N805" t="str">
        <f t="shared" si="60"/>
        <v>East-Alice</v>
      </c>
      <c r="O805">
        <f t="shared" si="61"/>
        <v>3487.68</v>
      </c>
      <c r="P805">
        <f t="shared" si="62"/>
        <v>11251.2</v>
      </c>
      <c r="Q805">
        <f t="shared" si="63"/>
        <v>7763.52</v>
      </c>
      <c r="R805">
        <f t="shared" si="64"/>
        <v>69.00170648464163</v>
      </c>
    </row>
    <row r="806" spans="1:18" x14ac:dyDescent="0.35">
      <c r="A806">
        <v>1098</v>
      </c>
      <c r="B806" s="1">
        <v>45001</v>
      </c>
      <c r="C806" t="s">
        <v>22</v>
      </c>
      <c r="D806" t="s">
        <v>23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27</v>
      </c>
      <c r="K806">
        <v>0.28999999999999998</v>
      </c>
      <c r="L806" t="s">
        <v>18</v>
      </c>
      <c r="M806" t="s">
        <v>21</v>
      </c>
      <c r="N806" t="str">
        <f t="shared" si="60"/>
        <v>South-David</v>
      </c>
      <c r="O806">
        <f t="shared" si="61"/>
        <v>8156.2800000000007</v>
      </c>
      <c r="P806">
        <f t="shared" si="62"/>
        <v>9658.99</v>
      </c>
      <c r="Q806">
        <f t="shared" si="63"/>
        <v>1502.7099999999991</v>
      </c>
      <c r="R806">
        <f t="shared" si="64"/>
        <v>15.557630766777883</v>
      </c>
    </row>
    <row r="807" spans="1:18" x14ac:dyDescent="0.35">
      <c r="A807">
        <v>1099</v>
      </c>
      <c r="B807" s="1">
        <v>45214</v>
      </c>
      <c r="C807" t="s">
        <v>22</v>
      </c>
      <c r="D807" t="s">
        <v>30</v>
      </c>
      <c r="E807">
        <v>6807.56</v>
      </c>
      <c r="F807">
        <v>39</v>
      </c>
      <c r="G807" t="s">
        <v>31</v>
      </c>
      <c r="H807">
        <v>3592.89</v>
      </c>
      <c r="I807">
        <v>4004</v>
      </c>
      <c r="J807" t="s">
        <v>27</v>
      </c>
      <c r="K807">
        <v>0.13</v>
      </c>
      <c r="L807" t="s">
        <v>18</v>
      </c>
      <c r="M807" t="s">
        <v>19</v>
      </c>
      <c r="N807" t="str">
        <f t="shared" si="60"/>
        <v>East-David</v>
      </c>
      <c r="O807">
        <f t="shared" si="61"/>
        <v>140122.71</v>
      </c>
      <c r="P807">
        <f t="shared" si="62"/>
        <v>156156</v>
      </c>
      <c r="Q807">
        <f t="shared" si="63"/>
        <v>16033.290000000008</v>
      </c>
      <c r="R807">
        <f t="shared" si="64"/>
        <v>10.267482517482522</v>
      </c>
    </row>
    <row r="808" spans="1:18" x14ac:dyDescent="0.35">
      <c r="A808">
        <v>1001</v>
      </c>
      <c r="B808" s="1">
        <v>45056</v>
      </c>
      <c r="C808" t="s">
        <v>22</v>
      </c>
      <c r="D808" t="s">
        <v>30</v>
      </c>
      <c r="E808">
        <v>3793.91</v>
      </c>
      <c r="F808">
        <v>47</v>
      </c>
      <c r="G808" t="s">
        <v>24</v>
      </c>
      <c r="H808">
        <v>4865.33</v>
      </c>
      <c r="I808">
        <v>5316.13</v>
      </c>
      <c r="J808" t="s">
        <v>27</v>
      </c>
      <c r="K808">
        <v>0.06</v>
      </c>
      <c r="L808" t="s">
        <v>25</v>
      </c>
      <c r="M808" t="s">
        <v>19</v>
      </c>
      <c r="N808" t="str">
        <f t="shared" si="60"/>
        <v>East-David</v>
      </c>
      <c r="O808">
        <f t="shared" si="61"/>
        <v>228670.51</v>
      </c>
      <c r="P808">
        <f t="shared" si="62"/>
        <v>249858.11000000002</v>
      </c>
      <c r="Q808">
        <f t="shared" si="63"/>
        <v>21187.600000000006</v>
      </c>
      <c r="R808">
        <f t="shared" si="64"/>
        <v>8.4798528252695107</v>
      </c>
    </row>
    <row r="809" spans="1:18" x14ac:dyDescent="0.35">
      <c r="A809">
        <v>1021</v>
      </c>
      <c r="B809" s="1">
        <v>45101</v>
      </c>
      <c r="C809" t="s">
        <v>33</v>
      </c>
      <c r="D809" t="s">
        <v>20</v>
      </c>
      <c r="E809">
        <v>9422.75</v>
      </c>
      <c r="F809">
        <v>24</v>
      </c>
      <c r="G809" t="s">
        <v>31</v>
      </c>
      <c r="H809">
        <v>4916.17</v>
      </c>
      <c r="I809">
        <v>5309.32</v>
      </c>
      <c r="J809" t="s">
        <v>17</v>
      </c>
      <c r="K809">
        <v>0.19</v>
      </c>
      <c r="L809" t="s">
        <v>28</v>
      </c>
      <c r="M809" t="s">
        <v>19</v>
      </c>
      <c r="N809" t="str">
        <f t="shared" si="60"/>
        <v>West-Alice</v>
      </c>
      <c r="O809">
        <f t="shared" si="61"/>
        <v>117988.08</v>
      </c>
      <c r="P809">
        <f t="shared" si="62"/>
        <v>127423.67999999999</v>
      </c>
      <c r="Q809">
        <f t="shared" si="63"/>
        <v>9435.5999999999913</v>
      </c>
      <c r="R809">
        <f t="shared" si="64"/>
        <v>7.4049030761001351</v>
      </c>
    </row>
    <row r="810" spans="1:18" x14ac:dyDescent="0.35">
      <c r="A810">
        <v>1055</v>
      </c>
      <c r="B810" s="1">
        <v>45010</v>
      </c>
      <c r="C810" t="s">
        <v>22</v>
      </c>
      <c r="D810" t="s">
        <v>30</v>
      </c>
      <c r="E810">
        <v>1756.83</v>
      </c>
      <c r="F810">
        <v>11</v>
      </c>
      <c r="G810" t="s">
        <v>31</v>
      </c>
      <c r="H810">
        <v>2495.1999999999998</v>
      </c>
      <c r="I810">
        <v>2600.9299999999998</v>
      </c>
      <c r="J810" t="s">
        <v>27</v>
      </c>
      <c r="K810">
        <v>0.21</v>
      </c>
      <c r="L810" t="s">
        <v>25</v>
      </c>
      <c r="M810" t="s">
        <v>21</v>
      </c>
      <c r="N810" t="str">
        <f t="shared" si="60"/>
        <v>East-David</v>
      </c>
      <c r="O810">
        <f t="shared" si="61"/>
        <v>27447.199999999997</v>
      </c>
      <c r="P810">
        <f t="shared" si="62"/>
        <v>28610.23</v>
      </c>
      <c r="Q810">
        <f t="shared" si="63"/>
        <v>1163.0300000000025</v>
      </c>
      <c r="R810">
        <f t="shared" si="64"/>
        <v>4.0650844121141372</v>
      </c>
    </row>
    <row r="811" spans="1:18" x14ac:dyDescent="0.35">
      <c r="A811">
        <v>1006</v>
      </c>
      <c r="B811" s="1">
        <v>44948</v>
      </c>
      <c r="C811" t="s">
        <v>33</v>
      </c>
      <c r="D811" t="s">
        <v>23</v>
      </c>
      <c r="E811">
        <v>5053.5600000000004</v>
      </c>
      <c r="F811">
        <v>29</v>
      </c>
      <c r="G811" t="s">
        <v>31</v>
      </c>
      <c r="H811">
        <v>4353.29</v>
      </c>
      <c r="I811">
        <v>4405.8</v>
      </c>
      <c r="J811" t="s">
        <v>27</v>
      </c>
      <c r="K811">
        <v>0.04</v>
      </c>
      <c r="L811" t="s">
        <v>25</v>
      </c>
      <c r="M811" t="s">
        <v>19</v>
      </c>
      <c r="N811" t="str">
        <f t="shared" si="60"/>
        <v>South-Alice</v>
      </c>
      <c r="O811">
        <f t="shared" si="61"/>
        <v>126245.41</v>
      </c>
      <c r="P811">
        <f t="shared" si="62"/>
        <v>127768.20000000001</v>
      </c>
      <c r="Q811">
        <f t="shared" si="63"/>
        <v>1522.7900000000081</v>
      </c>
      <c r="R811">
        <f t="shared" si="64"/>
        <v>1.1918380316855117</v>
      </c>
    </row>
    <row r="812" spans="1:18" x14ac:dyDescent="0.35">
      <c r="A812">
        <v>1092</v>
      </c>
      <c r="B812" s="1">
        <v>44953</v>
      </c>
      <c r="C812" t="s">
        <v>22</v>
      </c>
      <c r="D812" t="s">
        <v>20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27</v>
      </c>
      <c r="K812">
        <v>0.24</v>
      </c>
      <c r="L812" t="s">
        <v>18</v>
      </c>
      <c r="M812" t="s">
        <v>19</v>
      </c>
      <c r="N812" t="str">
        <f t="shared" si="60"/>
        <v>West-David</v>
      </c>
      <c r="O812">
        <f t="shared" si="61"/>
        <v>96129.54</v>
      </c>
      <c r="P812">
        <f t="shared" si="62"/>
        <v>104102.96</v>
      </c>
      <c r="Q812">
        <f t="shared" si="63"/>
        <v>7973.4200000000128</v>
      </c>
      <c r="R812">
        <f t="shared" si="64"/>
        <v>7.659167424250005</v>
      </c>
    </row>
    <row r="813" spans="1:18" x14ac:dyDescent="0.35">
      <c r="A813">
        <v>1081</v>
      </c>
      <c r="B813" s="1">
        <v>45121</v>
      </c>
      <c r="C813" t="s">
        <v>32</v>
      </c>
      <c r="D813" t="s">
        <v>15</v>
      </c>
      <c r="E813">
        <v>7001.64</v>
      </c>
      <c r="F813">
        <v>16</v>
      </c>
      <c r="G813" t="s">
        <v>26</v>
      </c>
      <c r="H813">
        <v>2530.15</v>
      </c>
      <c r="I813">
        <v>2568.13</v>
      </c>
      <c r="J813" t="s">
        <v>27</v>
      </c>
      <c r="K813">
        <v>0.01</v>
      </c>
      <c r="L813" t="s">
        <v>28</v>
      </c>
      <c r="M813" t="s">
        <v>19</v>
      </c>
      <c r="N813" t="str">
        <f t="shared" si="60"/>
        <v>North-Eve</v>
      </c>
      <c r="O813">
        <f t="shared" si="61"/>
        <v>40482.400000000001</v>
      </c>
      <c r="P813">
        <f t="shared" si="62"/>
        <v>41090.080000000002</v>
      </c>
      <c r="Q813">
        <f t="shared" si="63"/>
        <v>607.68000000000029</v>
      </c>
      <c r="R813">
        <f t="shared" si="64"/>
        <v>1.4788970963307939</v>
      </c>
    </row>
    <row r="814" spans="1:18" x14ac:dyDescent="0.35">
      <c r="A814">
        <v>1069</v>
      </c>
      <c r="B814" s="1">
        <v>45263</v>
      </c>
      <c r="C814" t="s">
        <v>22</v>
      </c>
      <c r="D814" t="s">
        <v>15</v>
      </c>
      <c r="E814">
        <v>6521.53</v>
      </c>
      <c r="F814">
        <v>35</v>
      </c>
      <c r="G814" t="s">
        <v>31</v>
      </c>
      <c r="H814">
        <v>2885.16</v>
      </c>
      <c r="I814">
        <v>3224.8399999999901</v>
      </c>
      <c r="J814" t="s">
        <v>27</v>
      </c>
      <c r="K814">
        <v>0.14000000000000001</v>
      </c>
      <c r="L814" t="s">
        <v>18</v>
      </c>
      <c r="M814" t="s">
        <v>19</v>
      </c>
      <c r="N814" t="str">
        <f t="shared" si="60"/>
        <v>North-David</v>
      </c>
      <c r="O814">
        <f t="shared" si="61"/>
        <v>100980.59999999999</v>
      </c>
      <c r="P814">
        <f t="shared" si="62"/>
        <v>112869.39999999966</v>
      </c>
      <c r="Q814">
        <f t="shared" si="63"/>
        <v>11888.799999999668</v>
      </c>
      <c r="R814">
        <f t="shared" si="64"/>
        <v>10.533235757432664</v>
      </c>
    </row>
    <row r="815" spans="1:18" x14ac:dyDescent="0.35">
      <c r="A815">
        <v>1095</v>
      </c>
      <c r="B815" s="1">
        <v>45162</v>
      </c>
      <c r="C815" t="s">
        <v>14</v>
      </c>
      <c r="D815" t="s">
        <v>20</v>
      </c>
      <c r="E815">
        <v>2825.35</v>
      </c>
      <c r="F815">
        <v>20</v>
      </c>
      <c r="G815" t="s">
        <v>24</v>
      </c>
      <c r="H815">
        <v>729.27</v>
      </c>
      <c r="I815">
        <v>999.18</v>
      </c>
      <c r="J815" t="s">
        <v>27</v>
      </c>
      <c r="K815">
        <v>0.1</v>
      </c>
      <c r="L815" t="s">
        <v>25</v>
      </c>
      <c r="M815" t="s">
        <v>19</v>
      </c>
      <c r="N815" t="str">
        <f t="shared" si="60"/>
        <v>West-Bob</v>
      </c>
      <c r="O815">
        <f t="shared" si="61"/>
        <v>14585.4</v>
      </c>
      <c r="P815">
        <f t="shared" si="62"/>
        <v>19983.599999999999</v>
      </c>
      <c r="Q815">
        <f t="shared" si="63"/>
        <v>5398.1999999999989</v>
      </c>
      <c r="R815">
        <f t="shared" si="64"/>
        <v>27.01315078364258</v>
      </c>
    </row>
    <row r="816" spans="1:18" x14ac:dyDescent="0.35">
      <c r="A816">
        <v>1005</v>
      </c>
      <c r="B816" s="1">
        <v>45018</v>
      </c>
      <c r="C816" t="s">
        <v>22</v>
      </c>
      <c r="D816" t="s">
        <v>23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25</v>
      </c>
      <c r="M816" t="s">
        <v>21</v>
      </c>
      <c r="N816" t="str">
        <f t="shared" si="60"/>
        <v>South-David</v>
      </c>
      <c r="O816">
        <f t="shared" si="61"/>
        <v>215805.32</v>
      </c>
      <c r="P816">
        <f t="shared" si="62"/>
        <v>231204.74</v>
      </c>
      <c r="Q816">
        <f t="shared" si="63"/>
        <v>15399.419999999984</v>
      </c>
      <c r="R816">
        <f t="shared" si="64"/>
        <v>6.6605122369030951</v>
      </c>
    </row>
    <row r="817" spans="1:18" x14ac:dyDescent="0.35">
      <c r="A817">
        <v>1003</v>
      </c>
      <c r="B817" s="1">
        <v>44947</v>
      </c>
      <c r="C817" t="s">
        <v>29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21</v>
      </c>
      <c r="N817" t="str">
        <f t="shared" si="60"/>
        <v>North-Charlie</v>
      </c>
      <c r="O817">
        <f t="shared" si="61"/>
        <v>5376.15</v>
      </c>
      <c r="P817">
        <f t="shared" si="62"/>
        <v>6273.6900000000005</v>
      </c>
      <c r="Q817">
        <f t="shared" si="63"/>
        <v>897.54000000000087</v>
      </c>
      <c r="R817">
        <f t="shared" si="64"/>
        <v>14.306412972269921</v>
      </c>
    </row>
    <row r="818" spans="1:18" x14ac:dyDescent="0.35">
      <c r="A818">
        <v>1053</v>
      </c>
      <c r="B818" s="1">
        <v>45229</v>
      </c>
      <c r="C818" t="s">
        <v>22</v>
      </c>
      <c r="D818" t="s">
        <v>15</v>
      </c>
      <c r="E818">
        <v>6033.09</v>
      </c>
      <c r="F818">
        <v>1</v>
      </c>
      <c r="G818" t="s">
        <v>24</v>
      </c>
      <c r="H818">
        <v>2258.44</v>
      </c>
      <c r="I818">
        <v>2475.56</v>
      </c>
      <c r="J818" t="s">
        <v>27</v>
      </c>
      <c r="K818">
        <v>0.25</v>
      </c>
      <c r="L818" t="s">
        <v>18</v>
      </c>
      <c r="M818" t="s">
        <v>19</v>
      </c>
      <c r="N818" t="str">
        <f t="shared" si="60"/>
        <v>North-David</v>
      </c>
      <c r="O818">
        <f t="shared" si="61"/>
        <v>2258.44</v>
      </c>
      <c r="P818">
        <f t="shared" si="62"/>
        <v>2475.56</v>
      </c>
      <c r="Q818">
        <f t="shared" si="63"/>
        <v>217.11999999999989</v>
      </c>
      <c r="R818">
        <f t="shared" si="64"/>
        <v>8.770540806928528</v>
      </c>
    </row>
    <row r="819" spans="1:18" x14ac:dyDescent="0.35">
      <c r="A819">
        <v>1023</v>
      </c>
      <c r="B819" s="1">
        <v>45283</v>
      </c>
      <c r="C819" t="s">
        <v>14</v>
      </c>
      <c r="D819" t="s">
        <v>30</v>
      </c>
      <c r="E819">
        <v>1875.62</v>
      </c>
      <c r="F819">
        <v>47</v>
      </c>
      <c r="G819" t="s">
        <v>31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tr">
        <f t="shared" si="60"/>
        <v>East-Bob</v>
      </c>
      <c r="O819">
        <f t="shared" si="61"/>
        <v>158611.84</v>
      </c>
      <c r="P819">
        <f t="shared" si="62"/>
        <v>163708.04999999952</v>
      </c>
      <c r="Q819">
        <f t="shared" si="63"/>
        <v>5096.2099999995262</v>
      </c>
      <c r="R819">
        <f t="shared" si="64"/>
        <v>3.11298680791784</v>
      </c>
    </row>
    <row r="820" spans="1:18" x14ac:dyDescent="0.35">
      <c r="A820">
        <v>1053</v>
      </c>
      <c r="B820" s="1">
        <v>45010</v>
      </c>
      <c r="C820" t="s">
        <v>14</v>
      </c>
      <c r="D820" t="s">
        <v>30</v>
      </c>
      <c r="E820">
        <v>7080.88</v>
      </c>
      <c r="F820">
        <v>1</v>
      </c>
      <c r="G820" t="s">
        <v>26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21</v>
      </c>
      <c r="N820" t="str">
        <f t="shared" si="60"/>
        <v>East-Bob</v>
      </c>
      <c r="O820">
        <f t="shared" si="61"/>
        <v>1702.82</v>
      </c>
      <c r="P820">
        <f t="shared" si="62"/>
        <v>1862.61</v>
      </c>
      <c r="Q820">
        <f t="shared" si="63"/>
        <v>159.78999999999996</v>
      </c>
      <c r="R820">
        <f t="shared" si="64"/>
        <v>8.5788221903672781</v>
      </c>
    </row>
    <row r="821" spans="1:18" x14ac:dyDescent="0.35">
      <c r="A821">
        <v>1037</v>
      </c>
      <c r="B821" s="1">
        <v>45188</v>
      </c>
      <c r="C821" t="s">
        <v>33</v>
      </c>
      <c r="D821" t="s">
        <v>23</v>
      </c>
      <c r="E821">
        <v>4606.2</v>
      </c>
      <c r="F821">
        <v>17</v>
      </c>
      <c r="G821" t="s">
        <v>31</v>
      </c>
      <c r="H821">
        <v>1308.58</v>
      </c>
      <c r="I821">
        <v>1575.59</v>
      </c>
      <c r="J821" t="s">
        <v>27</v>
      </c>
      <c r="K821">
        <v>0.3</v>
      </c>
      <c r="L821" t="s">
        <v>18</v>
      </c>
      <c r="M821" t="s">
        <v>19</v>
      </c>
      <c r="N821" t="str">
        <f t="shared" si="60"/>
        <v>South-Alice</v>
      </c>
      <c r="O821">
        <f t="shared" si="61"/>
        <v>22245.86</v>
      </c>
      <c r="P821">
        <f t="shared" si="62"/>
        <v>26785.03</v>
      </c>
      <c r="Q821">
        <f t="shared" si="63"/>
        <v>4539.1699999999983</v>
      </c>
      <c r="R821">
        <f t="shared" si="64"/>
        <v>16.946667597534887</v>
      </c>
    </row>
    <row r="822" spans="1:18" x14ac:dyDescent="0.35">
      <c r="A822">
        <v>1074</v>
      </c>
      <c r="B822" s="1">
        <v>45073</v>
      </c>
      <c r="C822" t="s">
        <v>32</v>
      </c>
      <c r="D822" t="s">
        <v>20</v>
      </c>
      <c r="E822">
        <v>6710.83</v>
      </c>
      <c r="F822">
        <v>2</v>
      </c>
      <c r="G822" t="s">
        <v>24</v>
      </c>
      <c r="H822">
        <v>3173.69</v>
      </c>
      <c r="I822">
        <v>3503.11</v>
      </c>
      <c r="J822" t="s">
        <v>27</v>
      </c>
      <c r="K822">
        <v>0.2</v>
      </c>
      <c r="L822" t="s">
        <v>25</v>
      </c>
      <c r="M822" t="s">
        <v>21</v>
      </c>
      <c r="N822" t="str">
        <f t="shared" si="60"/>
        <v>West-Eve</v>
      </c>
      <c r="O822">
        <f t="shared" si="61"/>
        <v>6347.38</v>
      </c>
      <c r="P822">
        <f t="shared" si="62"/>
        <v>7006.22</v>
      </c>
      <c r="Q822">
        <f t="shared" si="63"/>
        <v>658.84000000000015</v>
      </c>
      <c r="R822">
        <f t="shared" si="64"/>
        <v>9.4036441904479187</v>
      </c>
    </row>
    <row r="823" spans="1:18" x14ac:dyDescent="0.35">
      <c r="A823">
        <v>1074</v>
      </c>
      <c r="B823" s="1">
        <v>45183</v>
      </c>
      <c r="C823" t="s">
        <v>22</v>
      </c>
      <c r="D823" t="s">
        <v>23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tr">
        <f t="shared" si="60"/>
        <v>South-David</v>
      </c>
      <c r="O823">
        <f t="shared" si="61"/>
        <v>5036.4299999999994</v>
      </c>
      <c r="P823">
        <f t="shared" si="62"/>
        <v>16402.98</v>
      </c>
      <c r="Q823">
        <f t="shared" si="63"/>
        <v>11366.55</v>
      </c>
      <c r="R823">
        <f t="shared" si="64"/>
        <v>69.295640182454648</v>
      </c>
    </row>
    <row r="824" spans="1:18" x14ac:dyDescent="0.35">
      <c r="A824">
        <v>1083</v>
      </c>
      <c r="B824" s="1">
        <v>44984</v>
      </c>
      <c r="C824" t="s">
        <v>33</v>
      </c>
      <c r="D824" t="s">
        <v>20</v>
      </c>
      <c r="E824">
        <v>1780.31</v>
      </c>
      <c r="F824">
        <v>20</v>
      </c>
      <c r="G824" t="s">
        <v>26</v>
      </c>
      <c r="H824">
        <v>3617.59</v>
      </c>
      <c r="I824">
        <v>4003.5</v>
      </c>
      <c r="J824" t="s">
        <v>27</v>
      </c>
      <c r="K824">
        <v>0.01</v>
      </c>
      <c r="L824" t="s">
        <v>28</v>
      </c>
      <c r="M824" t="s">
        <v>21</v>
      </c>
      <c r="N824" t="str">
        <f t="shared" si="60"/>
        <v>West-Alice</v>
      </c>
      <c r="O824">
        <f t="shared" si="61"/>
        <v>72351.8</v>
      </c>
      <c r="P824">
        <f t="shared" si="62"/>
        <v>80070</v>
      </c>
      <c r="Q824">
        <f t="shared" si="63"/>
        <v>7718.1999999999971</v>
      </c>
      <c r="R824">
        <f t="shared" si="64"/>
        <v>9.6393155988510024</v>
      </c>
    </row>
    <row r="825" spans="1:18" x14ac:dyDescent="0.35">
      <c r="A825">
        <v>1017</v>
      </c>
      <c r="B825" s="1">
        <v>44941</v>
      </c>
      <c r="C825" t="s">
        <v>32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25</v>
      </c>
      <c r="M825" t="s">
        <v>21</v>
      </c>
      <c r="N825" t="str">
        <f t="shared" si="60"/>
        <v>North-Eve</v>
      </c>
      <c r="O825">
        <f t="shared" si="61"/>
        <v>15566.52</v>
      </c>
      <c r="P825">
        <f t="shared" si="62"/>
        <v>18486.239999999998</v>
      </c>
      <c r="Q825">
        <f t="shared" si="63"/>
        <v>2919.7199999999975</v>
      </c>
      <c r="R825">
        <f t="shared" si="64"/>
        <v>15.794017604445241</v>
      </c>
    </row>
    <row r="826" spans="1:18" x14ac:dyDescent="0.35">
      <c r="A826">
        <v>1085</v>
      </c>
      <c r="B826" s="1">
        <v>45088</v>
      </c>
      <c r="C826" t="s">
        <v>22</v>
      </c>
      <c r="D826" t="s">
        <v>30</v>
      </c>
      <c r="E826">
        <v>7813.12</v>
      </c>
      <c r="F826">
        <v>8</v>
      </c>
      <c r="G826" t="s">
        <v>24</v>
      </c>
      <c r="H826">
        <v>3048.48</v>
      </c>
      <c r="I826">
        <v>3198.54</v>
      </c>
      <c r="J826" t="s">
        <v>17</v>
      </c>
      <c r="K826">
        <v>0.03</v>
      </c>
      <c r="L826" t="s">
        <v>25</v>
      </c>
      <c r="M826" t="s">
        <v>19</v>
      </c>
      <c r="N826" t="str">
        <f t="shared" si="60"/>
        <v>East-David</v>
      </c>
      <c r="O826">
        <f t="shared" si="61"/>
        <v>24387.84</v>
      </c>
      <c r="P826">
        <f t="shared" si="62"/>
        <v>25588.32</v>
      </c>
      <c r="Q826">
        <f t="shared" si="63"/>
        <v>1200.4799999999996</v>
      </c>
      <c r="R826">
        <f t="shared" si="64"/>
        <v>4.6915155039486747</v>
      </c>
    </row>
    <row r="827" spans="1:18" x14ac:dyDescent="0.35">
      <c r="A827">
        <v>1078</v>
      </c>
      <c r="B827" s="1">
        <v>45089</v>
      </c>
      <c r="C827" t="s">
        <v>29</v>
      </c>
      <c r="D827" t="s">
        <v>23</v>
      </c>
      <c r="E827">
        <v>6136</v>
      </c>
      <c r="F827">
        <v>29</v>
      </c>
      <c r="G827" t="s">
        <v>31</v>
      </c>
      <c r="H827">
        <v>3177.81</v>
      </c>
      <c r="I827">
        <v>3222.65</v>
      </c>
      <c r="J827" t="s">
        <v>17</v>
      </c>
      <c r="K827">
        <v>0.08</v>
      </c>
      <c r="L827" t="s">
        <v>28</v>
      </c>
      <c r="M827" t="s">
        <v>21</v>
      </c>
      <c r="N827" t="str">
        <f t="shared" si="60"/>
        <v>South-Charlie</v>
      </c>
      <c r="O827">
        <f t="shared" si="61"/>
        <v>92156.49</v>
      </c>
      <c r="P827">
        <f t="shared" si="62"/>
        <v>93456.85</v>
      </c>
      <c r="Q827">
        <f t="shared" si="63"/>
        <v>1300.3600000000006</v>
      </c>
      <c r="R827">
        <f t="shared" si="64"/>
        <v>1.3914014863543984</v>
      </c>
    </row>
    <row r="828" spans="1:18" x14ac:dyDescent="0.35">
      <c r="A828">
        <v>1073</v>
      </c>
      <c r="B828" s="1">
        <v>45246</v>
      </c>
      <c r="C828" t="s">
        <v>22</v>
      </c>
      <c r="D828" t="s">
        <v>23</v>
      </c>
      <c r="E828">
        <v>7026.43</v>
      </c>
      <c r="F828">
        <v>48</v>
      </c>
      <c r="G828" t="s">
        <v>26</v>
      </c>
      <c r="H828">
        <v>2658.9</v>
      </c>
      <c r="I828">
        <v>2838.27</v>
      </c>
      <c r="J828" t="s">
        <v>27</v>
      </c>
      <c r="K828">
        <v>0.25</v>
      </c>
      <c r="L828" t="s">
        <v>28</v>
      </c>
      <c r="M828" t="s">
        <v>19</v>
      </c>
      <c r="N828" t="str">
        <f t="shared" si="60"/>
        <v>South-David</v>
      </c>
      <c r="O828">
        <f t="shared" si="61"/>
        <v>127627.20000000001</v>
      </c>
      <c r="P828">
        <f t="shared" si="62"/>
        <v>136236.96</v>
      </c>
      <c r="Q828">
        <f t="shared" si="63"/>
        <v>8609.7599999999802</v>
      </c>
      <c r="R828">
        <f t="shared" si="64"/>
        <v>6.3196947436290269</v>
      </c>
    </row>
    <row r="829" spans="1:18" x14ac:dyDescent="0.35">
      <c r="A829">
        <v>1001</v>
      </c>
      <c r="B829" s="1">
        <v>45207</v>
      </c>
      <c r="C829" t="s">
        <v>14</v>
      </c>
      <c r="D829" t="s">
        <v>20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25</v>
      </c>
      <c r="M829" t="s">
        <v>21</v>
      </c>
      <c r="N829" t="str">
        <f t="shared" si="60"/>
        <v>West-Bob</v>
      </c>
      <c r="O829">
        <f t="shared" si="61"/>
        <v>96806.819999999992</v>
      </c>
      <c r="P829">
        <f t="shared" si="62"/>
        <v>109155.75</v>
      </c>
      <c r="Q829">
        <f t="shared" si="63"/>
        <v>12348.930000000008</v>
      </c>
      <c r="R829">
        <f t="shared" si="64"/>
        <v>11.313128259390831</v>
      </c>
    </row>
    <row r="830" spans="1:18" x14ac:dyDescent="0.35">
      <c r="A830">
        <v>1051</v>
      </c>
      <c r="B830" s="1">
        <v>45206</v>
      </c>
      <c r="C830" t="s">
        <v>14</v>
      </c>
      <c r="D830" t="s">
        <v>20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27</v>
      </c>
      <c r="K830">
        <v>0.16</v>
      </c>
      <c r="L830" t="s">
        <v>18</v>
      </c>
      <c r="M830" t="s">
        <v>19</v>
      </c>
      <c r="N830" t="str">
        <f t="shared" si="60"/>
        <v>West-Bob</v>
      </c>
      <c r="O830">
        <f t="shared" si="61"/>
        <v>10304.25</v>
      </c>
      <c r="P830">
        <f t="shared" si="62"/>
        <v>10978.26</v>
      </c>
      <c r="Q830">
        <f t="shared" si="63"/>
        <v>674.01000000000022</v>
      </c>
      <c r="R830">
        <f t="shared" si="64"/>
        <v>6.1394975159998051</v>
      </c>
    </row>
    <row r="831" spans="1:18" x14ac:dyDescent="0.35">
      <c r="A831">
        <v>1045</v>
      </c>
      <c r="B831" s="1">
        <v>44938</v>
      </c>
      <c r="C831" t="s">
        <v>29</v>
      </c>
      <c r="D831" t="s">
        <v>23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27</v>
      </c>
      <c r="K831">
        <v>0.17</v>
      </c>
      <c r="L831" t="s">
        <v>25</v>
      </c>
      <c r="M831" t="s">
        <v>19</v>
      </c>
      <c r="N831" t="str">
        <f t="shared" si="60"/>
        <v>South-Charlie</v>
      </c>
      <c r="O831">
        <f t="shared" si="61"/>
        <v>132227.9</v>
      </c>
      <c r="P831">
        <f t="shared" si="62"/>
        <v>146603.1</v>
      </c>
      <c r="Q831">
        <f t="shared" si="63"/>
        <v>14375.200000000012</v>
      </c>
      <c r="R831">
        <f t="shared" si="64"/>
        <v>9.8055225298782975</v>
      </c>
    </row>
    <row r="832" spans="1:18" x14ac:dyDescent="0.35">
      <c r="A832">
        <v>1077</v>
      </c>
      <c r="B832" s="1">
        <v>45200</v>
      </c>
      <c r="C832" t="s">
        <v>33</v>
      </c>
      <c r="D832" t="s">
        <v>20</v>
      </c>
      <c r="E832">
        <v>5405.76</v>
      </c>
      <c r="F832">
        <v>5</v>
      </c>
      <c r="G832" t="s">
        <v>31</v>
      </c>
      <c r="H832">
        <v>3650.89</v>
      </c>
      <c r="I832">
        <v>3930.06</v>
      </c>
      <c r="J832" t="s">
        <v>27</v>
      </c>
      <c r="K832">
        <v>0.17</v>
      </c>
      <c r="L832" t="s">
        <v>25</v>
      </c>
      <c r="M832" t="s">
        <v>19</v>
      </c>
      <c r="N832" t="str">
        <f t="shared" si="60"/>
        <v>West-Alice</v>
      </c>
      <c r="O832">
        <f t="shared" si="61"/>
        <v>18254.45</v>
      </c>
      <c r="P832">
        <f t="shared" si="62"/>
        <v>19650.3</v>
      </c>
      <c r="Q832">
        <f t="shared" si="63"/>
        <v>1395.8499999999985</v>
      </c>
      <c r="R832">
        <f t="shared" si="64"/>
        <v>7.1034538912891838</v>
      </c>
    </row>
    <row r="833" spans="1:18" x14ac:dyDescent="0.35">
      <c r="A833">
        <v>1004</v>
      </c>
      <c r="B833" s="1">
        <v>45197</v>
      </c>
      <c r="C833" t="s">
        <v>32</v>
      </c>
      <c r="D833" t="s">
        <v>23</v>
      </c>
      <c r="E833">
        <v>4936.1099999999997</v>
      </c>
      <c r="F833">
        <v>27</v>
      </c>
      <c r="G833" t="s">
        <v>26</v>
      </c>
      <c r="H833">
        <v>4354.6000000000004</v>
      </c>
      <c r="I833">
        <v>4820.2</v>
      </c>
      <c r="J833" t="s">
        <v>27</v>
      </c>
      <c r="K833">
        <v>0.14000000000000001</v>
      </c>
      <c r="L833" t="s">
        <v>28</v>
      </c>
      <c r="M833" t="s">
        <v>21</v>
      </c>
      <c r="N833" t="str">
        <f t="shared" si="60"/>
        <v>South-Eve</v>
      </c>
      <c r="O833">
        <f t="shared" si="61"/>
        <v>117574.20000000001</v>
      </c>
      <c r="P833">
        <f t="shared" si="62"/>
        <v>130145.4</v>
      </c>
      <c r="Q833">
        <f t="shared" si="63"/>
        <v>12571.199999999983</v>
      </c>
      <c r="R833">
        <f t="shared" si="64"/>
        <v>9.659350234430093</v>
      </c>
    </row>
    <row r="834" spans="1:18" x14ac:dyDescent="0.35">
      <c r="A834">
        <v>1062</v>
      </c>
      <c r="B834" s="1">
        <v>45134</v>
      </c>
      <c r="C834" t="s">
        <v>22</v>
      </c>
      <c r="D834" t="s">
        <v>23</v>
      </c>
      <c r="E834">
        <v>4078.68</v>
      </c>
      <c r="F834">
        <v>44</v>
      </c>
      <c r="G834" t="s">
        <v>31</v>
      </c>
      <c r="H834">
        <v>987.74</v>
      </c>
      <c r="I834">
        <v>1462.19</v>
      </c>
      <c r="J834" t="s">
        <v>27</v>
      </c>
      <c r="K834">
        <v>0.24</v>
      </c>
      <c r="L834" t="s">
        <v>25</v>
      </c>
      <c r="M834" t="s">
        <v>19</v>
      </c>
      <c r="N834" t="str">
        <f t="shared" si="60"/>
        <v>South-David</v>
      </c>
      <c r="O834">
        <f t="shared" si="61"/>
        <v>43460.56</v>
      </c>
      <c r="P834">
        <f t="shared" si="62"/>
        <v>64336.36</v>
      </c>
      <c r="Q834">
        <f t="shared" si="63"/>
        <v>20875.800000000003</v>
      </c>
      <c r="R834">
        <f t="shared" si="64"/>
        <v>32.447903487234903</v>
      </c>
    </row>
    <row r="835" spans="1:18" x14ac:dyDescent="0.35">
      <c r="A835">
        <v>1065</v>
      </c>
      <c r="B835" s="1">
        <v>44953</v>
      </c>
      <c r="C835" t="s">
        <v>14</v>
      </c>
      <c r="D835" t="s">
        <v>23</v>
      </c>
      <c r="E835">
        <v>1621.54</v>
      </c>
      <c r="F835">
        <v>12</v>
      </c>
      <c r="G835" t="s">
        <v>31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tr">
        <f t="shared" ref="N835:N898" si="65">D835 &amp; "-" &amp; C835</f>
        <v>South-Bob</v>
      </c>
      <c r="O835">
        <f t="shared" ref="O835:O898" si="66">F835*H835</f>
        <v>24428.16</v>
      </c>
      <c r="P835">
        <f t="shared" ref="P835:P898" si="67">F835*I835</f>
        <v>24955.68</v>
      </c>
      <c r="Q835">
        <f t="shared" ref="Q835:Q898" si="68">P835-O835</f>
        <v>527.52000000000044</v>
      </c>
      <c r="R835">
        <f t="shared" ref="R835:R898" si="69">(Q835/P835)*100</f>
        <v>2.1138273932026714</v>
      </c>
    </row>
    <row r="836" spans="1:18" x14ac:dyDescent="0.35">
      <c r="A836">
        <v>1032</v>
      </c>
      <c r="B836" s="1">
        <v>44998</v>
      </c>
      <c r="C836" t="s">
        <v>33</v>
      </c>
      <c r="D836" t="s">
        <v>15</v>
      </c>
      <c r="E836">
        <v>5768.81</v>
      </c>
      <c r="F836">
        <v>20</v>
      </c>
      <c r="G836" t="s">
        <v>31</v>
      </c>
      <c r="H836">
        <v>4741.59</v>
      </c>
      <c r="I836">
        <v>4975.2299999999996</v>
      </c>
      <c r="J836" t="s">
        <v>27</v>
      </c>
      <c r="K836">
        <v>0.09</v>
      </c>
      <c r="L836" t="s">
        <v>28</v>
      </c>
      <c r="M836" t="s">
        <v>19</v>
      </c>
      <c r="N836" t="str">
        <f t="shared" si="65"/>
        <v>North-Alice</v>
      </c>
      <c r="O836">
        <f t="shared" si="66"/>
        <v>94831.8</v>
      </c>
      <c r="P836">
        <f t="shared" si="67"/>
        <v>99504.599999999991</v>
      </c>
      <c r="Q836">
        <f t="shared" si="68"/>
        <v>4672.7999999999884</v>
      </c>
      <c r="R836">
        <f t="shared" si="69"/>
        <v>4.6960643025548459</v>
      </c>
    </row>
    <row r="837" spans="1:18" x14ac:dyDescent="0.35">
      <c r="A837">
        <v>1034</v>
      </c>
      <c r="B837" s="1">
        <v>44986</v>
      </c>
      <c r="C837" t="s">
        <v>29</v>
      </c>
      <c r="D837" t="s">
        <v>20</v>
      </c>
      <c r="E837">
        <v>2842.42</v>
      </c>
      <c r="F837">
        <v>45</v>
      </c>
      <c r="G837" t="s">
        <v>24</v>
      </c>
      <c r="H837">
        <v>2013.12</v>
      </c>
      <c r="I837">
        <v>2321.87</v>
      </c>
      <c r="J837" t="s">
        <v>27</v>
      </c>
      <c r="K837">
        <v>0.18</v>
      </c>
      <c r="L837" t="s">
        <v>25</v>
      </c>
      <c r="M837" t="s">
        <v>21</v>
      </c>
      <c r="N837" t="str">
        <f t="shared" si="65"/>
        <v>West-Charlie</v>
      </c>
      <c r="O837">
        <f t="shared" si="66"/>
        <v>90590.399999999994</v>
      </c>
      <c r="P837">
        <f t="shared" si="67"/>
        <v>104484.15</v>
      </c>
      <c r="Q837">
        <f t="shared" si="68"/>
        <v>13893.75</v>
      </c>
      <c r="R837">
        <f t="shared" si="69"/>
        <v>13.297471434662578</v>
      </c>
    </row>
    <row r="838" spans="1:18" x14ac:dyDescent="0.35">
      <c r="A838">
        <v>1092</v>
      </c>
      <c r="B838" s="1">
        <v>45071</v>
      </c>
      <c r="C838" t="s">
        <v>14</v>
      </c>
      <c r="D838" t="s">
        <v>30</v>
      </c>
      <c r="E838">
        <v>9220.94</v>
      </c>
      <c r="F838">
        <v>20</v>
      </c>
      <c r="G838" t="s">
        <v>24</v>
      </c>
      <c r="H838">
        <v>668.11</v>
      </c>
      <c r="I838">
        <v>803.49</v>
      </c>
      <c r="J838" t="s">
        <v>27</v>
      </c>
      <c r="K838">
        <v>0.21</v>
      </c>
      <c r="L838" t="s">
        <v>25</v>
      </c>
      <c r="M838" t="s">
        <v>19</v>
      </c>
      <c r="N838" t="str">
        <f t="shared" si="65"/>
        <v>East-Bob</v>
      </c>
      <c r="O838">
        <f t="shared" si="66"/>
        <v>13362.2</v>
      </c>
      <c r="P838">
        <f t="shared" si="67"/>
        <v>16069.8</v>
      </c>
      <c r="Q838">
        <f t="shared" si="68"/>
        <v>2707.5999999999985</v>
      </c>
      <c r="R838">
        <f t="shared" si="69"/>
        <v>16.848996253842603</v>
      </c>
    </row>
    <row r="839" spans="1:18" x14ac:dyDescent="0.35">
      <c r="A839">
        <v>1095</v>
      </c>
      <c r="B839" s="1">
        <v>45019</v>
      </c>
      <c r="C839" t="s">
        <v>29</v>
      </c>
      <c r="D839" t="s">
        <v>30</v>
      </c>
      <c r="E839">
        <v>5873.59</v>
      </c>
      <c r="F839">
        <v>9</v>
      </c>
      <c r="G839" t="s">
        <v>24</v>
      </c>
      <c r="H839">
        <v>2650.95</v>
      </c>
      <c r="I839">
        <v>2860.4199999999901</v>
      </c>
      <c r="J839" t="s">
        <v>27</v>
      </c>
      <c r="K839">
        <v>0.12</v>
      </c>
      <c r="L839" t="s">
        <v>18</v>
      </c>
      <c r="M839" t="s">
        <v>21</v>
      </c>
      <c r="N839" t="str">
        <f t="shared" si="65"/>
        <v>East-Charlie</v>
      </c>
      <c r="O839">
        <f t="shared" si="66"/>
        <v>23858.55</v>
      </c>
      <c r="P839">
        <f t="shared" si="67"/>
        <v>25743.779999999912</v>
      </c>
      <c r="Q839">
        <f t="shared" si="68"/>
        <v>1885.2299999999123</v>
      </c>
      <c r="R839">
        <f t="shared" si="69"/>
        <v>7.3230504611207783</v>
      </c>
    </row>
    <row r="840" spans="1:18" x14ac:dyDescent="0.35">
      <c r="A840">
        <v>1072</v>
      </c>
      <c r="B840" s="1">
        <v>45235</v>
      </c>
      <c r="C840" t="s">
        <v>22</v>
      </c>
      <c r="D840" t="s">
        <v>20</v>
      </c>
      <c r="E840">
        <v>5969.12</v>
      </c>
      <c r="F840">
        <v>39</v>
      </c>
      <c r="G840" t="s">
        <v>26</v>
      </c>
      <c r="H840">
        <v>591.98</v>
      </c>
      <c r="I840">
        <v>934.04</v>
      </c>
      <c r="J840" t="s">
        <v>27</v>
      </c>
      <c r="K840">
        <v>0.26</v>
      </c>
      <c r="L840" t="s">
        <v>25</v>
      </c>
      <c r="M840" t="s">
        <v>21</v>
      </c>
      <c r="N840" t="str">
        <f t="shared" si="65"/>
        <v>West-David</v>
      </c>
      <c r="O840">
        <f t="shared" si="66"/>
        <v>23087.22</v>
      </c>
      <c r="P840">
        <f t="shared" si="67"/>
        <v>36427.56</v>
      </c>
      <c r="Q840">
        <f t="shared" si="68"/>
        <v>13340.339999999997</v>
      </c>
      <c r="R840">
        <f t="shared" si="69"/>
        <v>36.621557963256386</v>
      </c>
    </row>
    <row r="841" spans="1:18" x14ac:dyDescent="0.35">
      <c r="A841">
        <v>1039</v>
      </c>
      <c r="B841" s="1">
        <v>44934</v>
      </c>
      <c r="C841" t="s">
        <v>32</v>
      </c>
      <c r="D841" t="s">
        <v>23</v>
      </c>
      <c r="E841">
        <v>3613.75</v>
      </c>
      <c r="F841">
        <v>4</v>
      </c>
      <c r="G841" t="s">
        <v>31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25</v>
      </c>
      <c r="M841" t="s">
        <v>21</v>
      </c>
      <c r="N841" t="str">
        <f t="shared" si="65"/>
        <v>South-Eve</v>
      </c>
      <c r="O841">
        <f t="shared" si="66"/>
        <v>4216.4799999999996</v>
      </c>
      <c r="P841">
        <f t="shared" si="67"/>
        <v>4700.8799999999601</v>
      </c>
      <c r="Q841">
        <f t="shared" si="68"/>
        <v>484.39999999996053</v>
      </c>
      <c r="R841">
        <f t="shared" si="69"/>
        <v>10.304453634212416</v>
      </c>
    </row>
    <row r="842" spans="1:18" x14ac:dyDescent="0.35">
      <c r="A842">
        <v>1026</v>
      </c>
      <c r="B842" s="1">
        <v>45005</v>
      </c>
      <c r="C842" t="s">
        <v>14</v>
      </c>
      <c r="D842" t="s">
        <v>30</v>
      </c>
      <c r="E842">
        <v>614.69000000000005</v>
      </c>
      <c r="F842">
        <v>19</v>
      </c>
      <c r="G842" t="s">
        <v>31</v>
      </c>
      <c r="H842">
        <v>4991.68</v>
      </c>
      <c r="I842">
        <v>5296.65</v>
      </c>
      <c r="J842" t="s">
        <v>27</v>
      </c>
      <c r="K842">
        <v>0.12</v>
      </c>
      <c r="L842" t="s">
        <v>25</v>
      </c>
      <c r="M842" t="s">
        <v>19</v>
      </c>
      <c r="N842" t="str">
        <f t="shared" si="65"/>
        <v>East-Bob</v>
      </c>
      <c r="O842">
        <f t="shared" si="66"/>
        <v>94841.920000000013</v>
      </c>
      <c r="P842">
        <f t="shared" si="67"/>
        <v>100636.34999999999</v>
      </c>
      <c r="Q842">
        <f t="shared" si="68"/>
        <v>5794.4299999999785</v>
      </c>
      <c r="R842">
        <f t="shared" si="69"/>
        <v>5.7577903014169127</v>
      </c>
    </row>
    <row r="843" spans="1:18" x14ac:dyDescent="0.35">
      <c r="A843">
        <v>1034</v>
      </c>
      <c r="B843" s="1">
        <v>44953</v>
      </c>
      <c r="C843" t="s">
        <v>14</v>
      </c>
      <c r="D843" t="s">
        <v>30</v>
      </c>
      <c r="E843">
        <v>414.26</v>
      </c>
      <c r="F843">
        <v>38</v>
      </c>
      <c r="G843" t="s">
        <v>24</v>
      </c>
      <c r="H843">
        <v>2729.75</v>
      </c>
      <c r="I843">
        <v>3081.5</v>
      </c>
      <c r="J843" t="s">
        <v>27</v>
      </c>
      <c r="K843">
        <v>0.01</v>
      </c>
      <c r="L843" t="s">
        <v>25</v>
      </c>
      <c r="M843" t="s">
        <v>19</v>
      </c>
      <c r="N843" t="str">
        <f t="shared" si="65"/>
        <v>East-Bob</v>
      </c>
      <c r="O843">
        <f t="shared" si="66"/>
        <v>103730.5</v>
      </c>
      <c r="P843">
        <f t="shared" si="67"/>
        <v>117097</v>
      </c>
      <c r="Q843">
        <f t="shared" si="68"/>
        <v>13366.5</v>
      </c>
      <c r="R843">
        <f t="shared" si="69"/>
        <v>11.414895343177024</v>
      </c>
    </row>
    <row r="844" spans="1:18" x14ac:dyDescent="0.35">
      <c r="A844">
        <v>1054</v>
      </c>
      <c r="B844" s="1">
        <v>45100</v>
      </c>
      <c r="C844" t="s">
        <v>22</v>
      </c>
      <c r="D844" t="s">
        <v>20</v>
      </c>
      <c r="E844">
        <v>4291.0200000000004</v>
      </c>
      <c r="F844">
        <v>27</v>
      </c>
      <c r="G844" t="s">
        <v>31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21</v>
      </c>
      <c r="N844" t="str">
        <f t="shared" si="65"/>
        <v>West-David</v>
      </c>
      <c r="O844">
        <f t="shared" si="66"/>
        <v>39314.43</v>
      </c>
      <c r="P844">
        <f t="shared" si="67"/>
        <v>40781.609999999731</v>
      </c>
      <c r="Q844">
        <f t="shared" si="68"/>
        <v>1467.1799999997311</v>
      </c>
      <c r="R844">
        <f t="shared" si="69"/>
        <v>3.5976510000457087</v>
      </c>
    </row>
    <row r="845" spans="1:18" x14ac:dyDescent="0.35">
      <c r="A845">
        <v>1003</v>
      </c>
      <c r="B845" s="1">
        <v>44976</v>
      </c>
      <c r="C845" t="s">
        <v>33</v>
      </c>
      <c r="D845" t="s">
        <v>30</v>
      </c>
      <c r="E845">
        <v>937.2</v>
      </c>
      <c r="F845">
        <v>45</v>
      </c>
      <c r="G845" t="s">
        <v>31</v>
      </c>
      <c r="H845">
        <v>4974.1400000000003</v>
      </c>
      <c r="I845">
        <v>5227.93</v>
      </c>
      <c r="J845" t="s">
        <v>27</v>
      </c>
      <c r="K845">
        <v>0.21</v>
      </c>
      <c r="L845" t="s">
        <v>25</v>
      </c>
      <c r="M845" t="s">
        <v>19</v>
      </c>
      <c r="N845" t="str">
        <f t="shared" si="65"/>
        <v>East-Alice</v>
      </c>
      <c r="O845">
        <f t="shared" si="66"/>
        <v>223836.30000000002</v>
      </c>
      <c r="P845">
        <f t="shared" si="67"/>
        <v>235256.85</v>
      </c>
      <c r="Q845">
        <f t="shared" si="68"/>
        <v>11420.549999999988</v>
      </c>
      <c r="R845">
        <f t="shared" si="69"/>
        <v>4.8545026425372892</v>
      </c>
    </row>
    <row r="846" spans="1:18" x14ac:dyDescent="0.35">
      <c r="A846">
        <v>1050</v>
      </c>
      <c r="B846" s="1">
        <v>45125</v>
      </c>
      <c r="C846" t="s">
        <v>32</v>
      </c>
      <c r="D846" t="s">
        <v>23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25</v>
      </c>
      <c r="M846" t="s">
        <v>19</v>
      </c>
      <c r="N846" t="str">
        <f t="shared" si="65"/>
        <v>South-Eve</v>
      </c>
      <c r="O846">
        <f t="shared" si="66"/>
        <v>207882.21000000002</v>
      </c>
      <c r="P846">
        <f t="shared" si="67"/>
        <v>213855.34</v>
      </c>
      <c r="Q846">
        <f t="shared" si="68"/>
        <v>5973.1299999999756</v>
      </c>
      <c r="R846">
        <f t="shared" si="69"/>
        <v>2.7930703063107876</v>
      </c>
    </row>
    <row r="847" spans="1:18" x14ac:dyDescent="0.35">
      <c r="A847">
        <v>1012</v>
      </c>
      <c r="B847" s="1">
        <v>45275</v>
      </c>
      <c r="C847" t="s">
        <v>14</v>
      </c>
      <c r="D847" t="s">
        <v>20</v>
      </c>
      <c r="E847">
        <v>8821.6299999999992</v>
      </c>
      <c r="F847">
        <v>13</v>
      </c>
      <c r="G847" t="s">
        <v>31</v>
      </c>
      <c r="H847">
        <v>2231.66</v>
      </c>
      <c r="I847">
        <v>2596.6099999999901</v>
      </c>
      <c r="J847" t="s">
        <v>17</v>
      </c>
      <c r="K847">
        <v>0.09</v>
      </c>
      <c r="L847" t="s">
        <v>25</v>
      </c>
      <c r="M847" t="s">
        <v>21</v>
      </c>
      <c r="N847" t="str">
        <f t="shared" si="65"/>
        <v>West-Bob</v>
      </c>
      <c r="O847">
        <f t="shared" si="66"/>
        <v>29011.579999999998</v>
      </c>
      <c r="P847">
        <f t="shared" si="67"/>
        <v>33755.929999999869</v>
      </c>
      <c r="Q847">
        <f t="shared" si="68"/>
        <v>4744.3499999998712</v>
      </c>
      <c r="R847">
        <f t="shared" si="69"/>
        <v>14.054863841700968</v>
      </c>
    </row>
    <row r="848" spans="1:18" x14ac:dyDescent="0.35">
      <c r="A848">
        <v>1065</v>
      </c>
      <c r="B848" s="1">
        <v>45107</v>
      </c>
      <c r="C848" t="s">
        <v>32</v>
      </c>
      <c r="D848" t="s">
        <v>23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28</v>
      </c>
      <c r="M848" t="s">
        <v>21</v>
      </c>
      <c r="N848" t="str">
        <f t="shared" si="65"/>
        <v>South-Eve</v>
      </c>
      <c r="O848">
        <f t="shared" si="66"/>
        <v>17407</v>
      </c>
      <c r="P848">
        <f t="shared" si="67"/>
        <v>18744.440000000002</v>
      </c>
      <c r="Q848">
        <f t="shared" si="68"/>
        <v>1337.4400000000023</v>
      </c>
      <c r="R848">
        <f t="shared" si="69"/>
        <v>7.1351291369600913</v>
      </c>
    </row>
    <row r="849" spans="1:18" x14ac:dyDescent="0.35">
      <c r="A849">
        <v>1054</v>
      </c>
      <c r="B849" s="1">
        <v>44950</v>
      </c>
      <c r="C849" t="s">
        <v>14</v>
      </c>
      <c r="D849" t="s">
        <v>30</v>
      </c>
      <c r="E849">
        <v>6624.55</v>
      </c>
      <c r="F849">
        <v>22</v>
      </c>
      <c r="G849" t="s">
        <v>31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tr">
        <f t="shared" si="65"/>
        <v>East-Bob</v>
      </c>
      <c r="O849">
        <f t="shared" si="66"/>
        <v>92401.76</v>
      </c>
      <c r="P849">
        <f t="shared" si="67"/>
        <v>102240.15999999999</v>
      </c>
      <c r="Q849">
        <f t="shared" si="68"/>
        <v>9838.3999999999942</v>
      </c>
      <c r="R849">
        <f t="shared" si="69"/>
        <v>9.6228331411061916</v>
      </c>
    </row>
    <row r="850" spans="1:18" x14ac:dyDescent="0.35">
      <c r="A850">
        <v>1005</v>
      </c>
      <c r="B850" s="1">
        <v>45242</v>
      </c>
      <c r="C850" t="s">
        <v>32</v>
      </c>
      <c r="D850" t="s">
        <v>30</v>
      </c>
      <c r="E850">
        <v>2191.1999999999998</v>
      </c>
      <c r="F850">
        <v>28</v>
      </c>
      <c r="G850" t="s">
        <v>26</v>
      </c>
      <c r="H850">
        <v>3592.32</v>
      </c>
      <c r="I850">
        <v>3813.48</v>
      </c>
      <c r="J850" t="s">
        <v>27</v>
      </c>
      <c r="K850">
        <v>7.0000000000000007E-2</v>
      </c>
      <c r="L850" t="s">
        <v>28</v>
      </c>
      <c r="M850" t="s">
        <v>21</v>
      </c>
      <c r="N850" t="str">
        <f t="shared" si="65"/>
        <v>East-Eve</v>
      </c>
      <c r="O850">
        <f t="shared" si="66"/>
        <v>100584.96000000001</v>
      </c>
      <c r="P850">
        <f t="shared" si="67"/>
        <v>106777.44</v>
      </c>
      <c r="Q850">
        <f t="shared" si="68"/>
        <v>6192.4799999999959</v>
      </c>
      <c r="R850">
        <f t="shared" si="69"/>
        <v>5.7994272947543939</v>
      </c>
    </row>
    <row r="851" spans="1:18" x14ac:dyDescent="0.35">
      <c r="A851">
        <v>1094</v>
      </c>
      <c r="B851" s="1">
        <v>44972</v>
      </c>
      <c r="C851" t="s">
        <v>29</v>
      </c>
      <c r="D851" t="s">
        <v>23</v>
      </c>
      <c r="E851">
        <v>8643.67</v>
      </c>
      <c r="F851">
        <v>47</v>
      </c>
      <c r="G851" t="s">
        <v>24</v>
      </c>
      <c r="H851">
        <v>3450.36</v>
      </c>
      <c r="I851">
        <v>3557.38</v>
      </c>
      <c r="J851" t="s">
        <v>27</v>
      </c>
      <c r="K851">
        <v>0.2</v>
      </c>
      <c r="L851" t="s">
        <v>28</v>
      </c>
      <c r="M851" t="s">
        <v>19</v>
      </c>
      <c r="N851" t="str">
        <f t="shared" si="65"/>
        <v>South-Charlie</v>
      </c>
      <c r="O851">
        <f t="shared" si="66"/>
        <v>162166.92000000001</v>
      </c>
      <c r="P851">
        <f t="shared" si="67"/>
        <v>167196.86000000002</v>
      </c>
      <c r="Q851">
        <f t="shared" si="68"/>
        <v>5029.9400000000023</v>
      </c>
      <c r="R851">
        <f t="shared" si="69"/>
        <v>3.0083938179221796</v>
      </c>
    </row>
    <row r="852" spans="1:18" x14ac:dyDescent="0.3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21</v>
      </c>
      <c r="N852" t="str">
        <f t="shared" si="65"/>
        <v>North-Bob</v>
      </c>
      <c r="O852">
        <f t="shared" si="66"/>
        <v>201190.94999999998</v>
      </c>
      <c r="P852">
        <f t="shared" si="67"/>
        <v>211299.3</v>
      </c>
      <c r="Q852">
        <f t="shared" si="68"/>
        <v>10108.350000000006</v>
      </c>
      <c r="R852">
        <f t="shared" si="69"/>
        <v>4.7839013191241078</v>
      </c>
    </row>
    <row r="853" spans="1:18" x14ac:dyDescent="0.35">
      <c r="A853">
        <v>1057</v>
      </c>
      <c r="B853" s="1">
        <v>45079</v>
      </c>
      <c r="C853" t="s">
        <v>32</v>
      </c>
      <c r="D853" t="s">
        <v>30</v>
      </c>
      <c r="E853">
        <v>2046.87</v>
      </c>
      <c r="F853">
        <v>22</v>
      </c>
      <c r="G853" t="s">
        <v>24</v>
      </c>
      <c r="H853">
        <v>3462.61</v>
      </c>
      <c r="I853">
        <v>3672.89</v>
      </c>
      <c r="J853" t="s">
        <v>17</v>
      </c>
      <c r="K853">
        <v>0.27</v>
      </c>
      <c r="L853" t="s">
        <v>28</v>
      </c>
      <c r="M853" t="s">
        <v>19</v>
      </c>
      <c r="N853" t="str">
        <f t="shared" si="65"/>
        <v>East-Eve</v>
      </c>
      <c r="O853">
        <f t="shared" si="66"/>
        <v>76177.42</v>
      </c>
      <c r="P853">
        <f t="shared" si="67"/>
        <v>80803.58</v>
      </c>
      <c r="Q853">
        <f t="shared" si="68"/>
        <v>4626.1600000000035</v>
      </c>
      <c r="R853">
        <f t="shared" si="69"/>
        <v>5.7251918788746776</v>
      </c>
    </row>
    <row r="854" spans="1:18" x14ac:dyDescent="0.35">
      <c r="A854">
        <v>1017</v>
      </c>
      <c r="B854" s="1">
        <v>45148</v>
      </c>
      <c r="C854" t="s">
        <v>33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27</v>
      </c>
      <c r="K854">
        <v>0.03</v>
      </c>
      <c r="L854" t="s">
        <v>28</v>
      </c>
      <c r="M854" t="s">
        <v>19</v>
      </c>
      <c r="N854" t="str">
        <f t="shared" si="65"/>
        <v>North-Alice</v>
      </c>
      <c r="O854">
        <f t="shared" si="66"/>
        <v>62556.4</v>
      </c>
      <c r="P854">
        <f t="shared" si="67"/>
        <v>72023.710000000006</v>
      </c>
      <c r="Q854">
        <f t="shared" si="68"/>
        <v>9467.3100000000049</v>
      </c>
      <c r="R854">
        <f t="shared" si="69"/>
        <v>13.144713039636535</v>
      </c>
    </row>
    <row r="855" spans="1:18" x14ac:dyDescent="0.35">
      <c r="A855">
        <v>1047</v>
      </c>
      <c r="B855" s="1">
        <v>45132</v>
      </c>
      <c r="C855" t="s">
        <v>29</v>
      </c>
      <c r="D855" t="s">
        <v>30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28</v>
      </c>
      <c r="M855" t="s">
        <v>21</v>
      </c>
      <c r="N855" t="str">
        <f t="shared" si="65"/>
        <v>East-Charlie</v>
      </c>
      <c r="O855">
        <f t="shared" si="66"/>
        <v>66207.78</v>
      </c>
      <c r="P855">
        <f t="shared" si="67"/>
        <v>71849.449999999808</v>
      </c>
      <c r="Q855">
        <f t="shared" si="68"/>
        <v>5641.6699999998091</v>
      </c>
      <c r="R855">
        <f t="shared" si="69"/>
        <v>7.8520712406285984</v>
      </c>
    </row>
    <row r="856" spans="1:18" x14ac:dyDescent="0.35">
      <c r="A856">
        <v>1023</v>
      </c>
      <c r="B856" s="1">
        <v>45199</v>
      </c>
      <c r="C856" t="s">
        <v>29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tr">
        <f t="shared" si="65"/>
        <v>North-Charlie</v>
      </c>
      <c r="O856">
        <f t="shared" si="66"/>
        <v>12510.24</v>
      </c>
      <c r="P856">
        <f t="shared" si="67"/>
        <v>14633.279999999921</v>
      </c>
      <c r="Q856">
        <f t="shared" si="68"/>
        <v>2123.0399999999208</v>
      </c>
      <c r="R856">
        <f t="shared" si="69"/>
        <v>14.508298891293903</v>
      </c>
    </row>
    <row r="857" spans="1:18" x14ac:dyDescent="0.35">
      <c r="A857">
        <v>1079</v>
      </c>
      <c r="B857" s="1">
        <v>45162</v>
      </c>
      <c r="C857" t="s">
        <v>33</v>
      </c>
      <c r="D857" t="s">
        <v>15</v>
      </c>
      <c r="E857">
        <v>9972.66</v>
      </c>
      <c r="F857">
        <v>8</v>
      </c>
      <c r="G857" t="s">
        <v>26</v>
      </c>
      <c r="H857">
        <v>3808.23</v>
      </c>
      <c r="I857">
        <v>3891.62</v>
      </c>
      <c r="J857" t="s">
        <v>17</v>
      </c>
      <c r="K857">
        <v>0.26</v>
      </c>
      <c r="L857" t="s">
        <v>25</v>
      </c>
      <c r="M857" t="s">
        <v>19</v>
      </c>
      <c r="N857" t="str">
        <f t="shared" si="65"/>
        <v>North-Alice</v>
      </c>
      <c r="O857">
        <f t="shared" si="66"/>
        <v>30465.84</v>
      </c>
      <c r="P857">
        <f t="shared" si="67"/>
        <v>31132.959999999999</v>
      </c>
      <c r="Q857">
        <f t="shared" si="68"/>
        <v>667.11999999999898</v>
      </c>
      <c r="R857">
        <f t="shared" si="69"/>
        <v>2.1428094212692881</v>
      </c>
    </row>
    <row r="858" spans="1:18" x14ac:dyDescent="0.35">
      <c r="A858">
        <v>1085</v>
      </c>
      <c r="B858" s="1">
        <v>45266</v>
      </c>
      <c r="C858" t="s">
        <v>32</v>
      </c>
      <c r="D858" t="s">
        <v>15</v>
      </c>
      <c r="E858">
        <v>397.26</v>
      </c>
      <c r="F858">
        <v>42</v>
      </c>
      <c r="G858" t="s">
        <v>31</v>
      </c>
      <c r="H858">
        <v>3117.75</v>
      </c>
      <c r="I858">
        <v>3159.88</v>
      </c>
      <c r="J858" t="s">
        <v>27</v>
      </c>
      <c r="K858">
        <v>0.04</v>
      </c>
      <c r="L858" t="s">
        <v>18</v>
      </c>
      <c r="M858" t="s">
        <v>21</v>
      </c>
      <c r="N858" t="str">
        <f t="shared" si="65"/>
        <v>North-Eve</v>
      </c>
      <c r="O858">
        <f t="shared" si="66"/>
        <v>130945.5</v>
      </c>
      <c r="P858">
        <f t="shared" si="67"/>
        <v>132714.96</v>
      </c>
      <c r="Q858">
        <f t="shared" si="68"/>
        <v>1769.4599999999919</v>
      </c>
      <c r="R858">
        <f t="shared" si="69"/>
        <v>1.3332784789295735</v>
      </c>
    </row>
    <row r="859" spans="1:18" x14ac:dyDescent="0.35">
      <c r="A859">
        <v>1014</v>
      </c>
      <c r="B859" s="1">
        <v>45154</v>
      </c>
      <c r="C859" t="s">
        <v>22</v>
      </c>
      <c r="D859" t="s">
        <v>23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tr">
        <f t="shared" si="65"/>
        <v>South-David</v>
      </c>
      <c r="O859">
        <f t="shared" si="66"/>
        <v>11262.94</v>
      </c>
      <c r="P859">
        <f t="shared" si="67"/>
        <v>20815.600000000002</v>
      </c>
      <c r="Q859">
        <f t="shared" si="68"/>
        <v>9552.6600000000017</v>
      </c>
      <c r="R859">
        <f t="shared" si="69"/>
        <v>45.891831126655013</v>
      </c>
    </row>
    <row r="860" spans="1:18" x14ac:dyDescent="0.35">
      <c r="A860">
        <v>1066</v>
      </c>
      <c r="B860" s="1">
        <v>44935</v>
      </c>
      <c r="C860" t="s">
        <v>33</v>
      </c>
      <c r="D860" t="s">
        <v>15</v>
      </c>
      <c r="E860">
        <v>6264.04</v>
      </c>
      <c r="F860">
        <v>48</v>
      </c>
      <c r="G860" t="s">
        <v>26</v>
      </c>
      <c r="H860">
        <v>2588.54</v>
      </c>
      <c r="I860">
        <v>2872.8</v>
      </c>
      <c r="J860" t="s">
        <v>27</v>
      </c>
      <c r="K860">
        <v>0.17</v>
      </c>
      <c r="L860" t="s">
        <v>18</v>
      </c>
      <c r="M860" t="s">
        <v>19</v>
      </c>
      <c r="N860" t="str">
        <f t="shared" si="65"/>
        <v>North-Alice</v>
      </c>
      <c r="O860">
        <f t="shared" si="66"/>
        <v>124249.92</v>
      </c>
      <c r="P860">
        <f t="shared" si="67"/>
        <v>137894.40000000002</v>
      </c>
      <c r="Q860">
        <f t="shared" si="68"/>
        <v>13644.480000000025</v>
      </c>
      <c r="R860">
        <f t="shared" si="69"/>
        <v>9.8948760790866217</v>
      </c>
    </row>
    <row r="861" spans="1:18" x14ac:dyDescent="0.35">
      <c r="A861">
        <v>1075</v>
      </c>
      <c r="B861" s="1">
        <v>45092</v>
      </c>
      <c r="C861" t="s">
        <v>32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27</v>
      </c>
      <c r="K861">
        <v>0.14000000000000001</v>
      </c>
      <c r="L861" t="s">
        <v>28</v>
      </c>
      <c r="M861" t="s">
        <v>19</v>
      </c>
      <c r="N861" t="str">
        <f t="shared" si="65"/>
        <v>North-Eve</v>
      </c>
      <c r="O861">
        <f t="shared" si="66"/>
        <v>45482.84</v>
      </c>
      <c r="P861">
        <f t="shared" si="67"/>
        <v>50316.5</v>
      </c>
      <c r="Q861">
        <f t="shared" si="68"/>
        <v>4833.6600000000035</v>
      </c>
      <c r="R861">
        <f t="shared" si="69"/>
        <v>9.6065107867200688</v>
      </c>
    </row>
    <row r="862" spans="1:18" x14ac:dyDescent="0.35">
      <c r="A862">
        <v>1051</v>
      </c>
      <c r="B862" s="1">
        <v>45245</v>
      </c>
      <c r="C862" t="s">
        <v>33</v>
      </c>
      <c r="D862" t="s">
        <v>15</v>
      </c>
      <c r="E862">
        <v>4703.59</v>
      </c>
      <c r="F862">
        <v>23</v>
      </c>
      <c r="G862" t="s">
        <v>31</v>
      </c>
      <c r="H862">
        <v>1676.42</v>
      </c>
      <c r="I862">
        <v>2082.52</v>
      </c>
      <c r="J862" t="s">
        <v>27</v>
      </c>
      <c r="K862">
        <v>0.15</v>
      </c>
      <c r="L862" t="s">
        <v>25</v>
      </c>
      <c r="M862" t="s">
        <v>21</v>
      </c>
      <c r="N862" t="str">
        <f t="shared" si="65"/>
        <v>North-Alice</v>
      </c>
      <c r="O862">
        <f t="shared" si="66"/>
        <v>38557.660000000003</v>
      </c>
      <c r="P862">
        <f t="shared" si="67"/>
        <v>47897.96</v>
      </c>
      <c r="Q862">
        <f t="shared" si="68"/>
        <v>9340.2999999999956</v>
      </c>
      <c r="R862">
        <f t="shared" si="69"/>
        <v>19.50041296122005</v>
      </c>
    </row>
    <row r="863" spans="1:18" x14ac:dyDescent="0.35">
      <c r="A863">
        <v>1038</v>
      </c>
      <c r="B863" s="1">
        <v>45140</v>
      </c>
      <c r="C863" t="s">
        <v>33</v>
      </c>
      <c r="D863" t="s">
        <v>30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21</v>
      </c>
      <c r="N863" t="str">
        <f t="shared" si="65"/>
        <v>East-Alice</v>
      </c>
      <c r="O863">
        <f t="shared" si="66"/>
        <v>130340.31</v>
      </c>
      <c r="P863">
        <f t="shared" si="67"/>
        <v>138946.76</v>
      </c>
      <c r="Q863">
        <f t="shared" si="68"/>
        <v>8606.4500000000116</v>
      </c>
      <c r="R863">
        <f t="shared" si="69"/>
        <v>6.1940631073369481</v>
      </c>
    </row>
    <row r="864" spans="1:18" x14ac:dyDescent="0.3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26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21</v>
      </c>
      <c r="N864" t="str">
        <f t="shared" si="65"/>
        <v>North-Bob</v>
      </c>
      <c r="O864">
        <f t="shared" si="66"/>
        <v>21391.63</v>
      </c>
      <c r="P864">
        <f t="shared" si="67"/>
        <v>26591.89</v>
      </c>
      <c r="Q864">
        <f t="shared" si="68"/>
        <v>5200.2599999999984</v>
      </c>
      <c r="R864">
        <f t="shared" si="69"/>
        <v>19.555811941159497</v>
      </c>
    </row>
    <row r="865" spans="1:18" x14ac:dyDescent="0.35">
      <c r="A865">
        <v>1098</v>
      </c>
      <c r="B865" s="1">
        <v>45270</v>
      </c>
      <c r="C865" t="s">
        <v>32</v>
      </c>
      <c r="D865" t="s">
        <v>30</v>
      </c>
      <c r="E865">
        <v>3419.26</v>
      </c>
      <c r="F865">
        <v>28</v>
      </c>
      <c r="G865" t="s">
        <v>31</v>
      </c>
      <c r="H865">
        <v>3895.62</v>
      </c>
      <c r="I865">
        <v>4055.44</v>
      </c>
      <c r="J865" t="s">
        <v>27</v>
      </c>
      <c r="K865">
        <v>0.03</v>
      </c>
      <c r="L865" t="s">
        <v>25</v>
      </c>
      <c r="M865" t="s">
        <v>21</v>
      </c>
      <c r="N865" t="str">
        <f t="shared" si="65"/>
        <v>East-Eve</v>
      </c>
      <c r="O865">
        <f t="shared" si="66"/>
        <v>109077.36</v>
      </c>
      <c r="P865">
        <f t="shared" si="67"/>
        <v>113552.32000000001</v>
      </c>
      <c r="Q865">
        <f t="shared" si="68"/>
        <v>4474.9600000000064</v>
      </c>
      <c r="R865">
        <f t="shared" si="69"/>
        <v>3.9408794113585754</v>
      </c>
    </row>
    <row r="866" spans="1:18" x14ac:dyDescent="0.35">
      <c r="A866">
        <v>1038</v>
      </c>
      <c r="B866" s="1">
        <v>44998</v>
      </c>
      <c r="C866" t="s">
        <v>22</v>
      </c>
      <c r="D866" t="s">
        <v>15</v>
      </c>
      <c r="E866">
        <v>763.46</v>
      </c>
      <c r="F866">
        <v>9</v>
      </c>
      <c r="G866" t="s">
        <v>26</v>
      </c>
      <c r="H866">
        <v>400.42</v>
      </c>
      <c r="I866">
        <v>446.11</v>
      </c>
      <c r="J866" t="s">
        <v>27</v>
      </c>
      <c r="K866">
        <v>0.01</v>
      </c>
      <c r="L866" t="s">
        <v>25</v>
      </c>
      <c r="M866" t="s">
        <v>21</v>
      </c>
      <c r="N866" t="str">
        <f t="shared" si="65"/>
        <v>North-David</v>
      </c>
      <c r="O866">
        <f t="shared" si="66"/>
        <v>3603.78</v>
      </c>
      <c r="P866">
        <f t="shared" si="67"/>
        <v>4014.9900000000002</v>
      </c>
      <c r="Q866">
        <f t="shared" si="68"/>
        <v>411.21000000000004</v>
      </c>
      <c r="R866">
        <f t="shared" si="69"/>
        <v>10.241868597431127</v>
      </c>
    </row>
    <row r="867" spans="1:18" x14ac:dyDescent="0.3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31</v>
      </c>
      <c r="H867">
        <v>3318.92</v>
      </c>
      <c r="I867">
        <v>3785.91</v>
      </c>
      <c r="J867" t="s">
        <v>27</v>
      </c>
      <c r="K867">
        <v>0.24</v>
      </c>
      <c r="L867" t="s">
        <v>25</v>
      </c>
      <c r="M867" t="s">
        <v>19</v>
      </c>
      <c r="N867" t="str">
        <f t="shared" si="65"/>
        <v>North-Bob</v>
      </c>
      <c r="O867">
        <f t="shared" si="66"/>
        <v>66378.399999999994</v>
      </c>
      <c r="P867">
        <f t="shared" si="67"/>
        <v>75718.2</v>
      </c>
      <c r="Q867">
        <f t="shared" si="68"/>
        <v>9339.8000000000029</v>
      </c>
      <c r="R867">
        <f t="shared" si="69"/>
        <v>12.334947212162998</v>
      </c>
    </row>
    <row r="868" spans="1:18" x14ac:dyDescent="0.35">
      <c r="A868">
        <v>1098</v>
      </c>
      <c r="B868" s="1">
        <v>45131</v>
      </c>
      <c r="C868" t="s">
        <v>33</v>
      </c>
      <c r="D868" t="s">
        <v>23</v>
      </c>
      <c r="E868">
        <v>8188.04</v>
      </c>
      <c r="F868">
        <v>19</v>
      </c>
      <c r="G868" t="s">
        <v>31</v>
      </c>
      <c r="H868">
        <v>4055.51</v>
      </c>
      <c r="I868">
        <v>4258.84</v>
      </c>
      <c r="J868" t="s">
        <v>17</v>
      </c>
      <c r="K868">
        <v>0.03</v>
      </c>
      <c r="L868" t="s">
        <v>28</v>
      </c>
      <c r="M868" t="s">
        <v>19</v>
      </c>
      <c r="N868" t="str">
        <f t="shared" si="65"/>
        <v>South-Alice</v>
      </c>
      <c r="O868">
        <f t="shared" si="66"/>
        <v>77054.69</v>
      </c>
      <c r="P868">
        <f t="shared" si="67"/>
        <v>80917.960000000006</v>
      </c>
      <c r="Q868">
        <f t="shared" si="68"/>
        <v>3863.2700000000041</v>
      </c>
      <c r="R868">
        <f t="shared" si="69"/>
        <v>4.7743047402579153</v>
      </c>
    </row>
    <row r="869" spans="1:18" x14ac:dyDescent="0.35">
      <c r="A869">
        <v>1082</v>
      </c>
      <c r="B869" s="1">
        <v>45135</v>
      </c>
      <c r="C869" t="s">
        <v>33</v>
      </c>
      <c r="D869" t="s">
        <v>30</v>
      </c>
      <c r="E869">
        <v>8540.2199999999993</v>
      </c>
      <c r="F869">
        <v>48</v>
      </c>
      <c r="G869" t="s">
        <v>24</v>
      </c>
      <c r="H869">
        <v>3380.52</v>
      </c>
      <c r="I869">
        <v>3778.94</v>
      </c>
      <c r="J869" t="s">
        <v>17</v>
      </c>
      <c r="K869">
        <v>0.3</v>
      </c>
      <c r="L869" t="s">
        <v>25</v>
      </c>
      <c r="M869" t="s">
        <v>19</v>
      </c>
      <c r="N869" t="str">
        <f t="shared" si="65"/>
        <v>East-Alice</v>
      </c>
      <c r="O869">
        <f t="shared" si="66"/>
        <v>162264.95999999999</v>
      </c>
      <c r="P869">
        <f t="shared" si="67"/>
        <v>181389.12</v>
      </c>
      <c r="Q869">
        <f t="shared" si="68"/>
        <v>19124.160000000003</v>
      </c>
      <c r="R869">
        <f t="shared" si="69"/>
        <v>10.543168190021543</v>
      </c>
    </row>
    <row r="870" spans="1:18" x14ac:dyDescent="0.35">
      <c r="A870">
        <v>1030</v>
      </c>
      <c r="B870" s="1">
        <v>44998</v>
      </c>
      <c r="C870" t="s">
        <v>33</v>
      </c>
      <c r="D870" t="s">
        <v>15</v>
      </c>
      <c r="E870">
        <v>9385.86</v>
      </c>
      <c r="F870">
        <v>39</v>
      </c>
      <c r="G870" t="s">
        <v>24</v>
      </c>
      <c r="H870">
        <v>2511.2800000000002</v>
      </c>
      <c r="I870">
        <v>2658.06</v>
      </c>
      <c r="J870" t="s">
        <v>27</v>
      </c>
      <c r="K870">
        <v>0.19</v>
      </c>
      <c r="L870" t="s">
        <v>28</v>
      </c>
      <c r="M870" t="s">
        <v>21</v>
      </c>
      <c r="N870" t="str">
        <f t="shared" si="65"/>
        <v>North-Alice</v>
      </c>
      <c r="O870">
        <f t="shared" si="66"/>
        <v>97939.920000000013</v>
      </c>
      <c r="P870">
        <f t="shared" si="67"/>
        <v>103664.34</v>
      </c>
      <c r="Q870">
        <f t="shared" si="68"/>
        <v>5724.4199999999837</v>
      </c>
      <c r="R870">
        <f t="shared" si="69"/>
        <v>5.5220724889580968</v>
      </c>
    </row>
    <row r="871" spans="1:18" x14ac:dyDescent="0.35">
      <c r="A871">
        <v>1079</v>
      </c>
      <c r="B871" s="1">
        <v>45203</v>
      </c>
      <c r="C871" t="s">
        <v>32</v>
      </c>
      <c r="D871" t="s">
        <v>30</v>
      </c>
      <c r="E871">
        <v>942.52</v>
      </c>
      <c r="F871">
        <v>12</v>
      </c>
      <c r="G871" t="s">
        <v>24</v>
      </c>
      <c r="H871">
        <v>4754.0200000000004</v>
      </c>
      <c r="I871">
        <v>5080.74</v>
      </c>
      <c r="J871" t="s">
        <v>27</v>
      </c>
      <c r="K871">
        <v>0.2</v>
      </c>
      <c r="L871" t="s">
        <v>18</v>
      </c>
      <c r="M871" t="s">
        <v>19</v>
      </c>
      <c r="N871" t="str">
        <f t="shared" si="65"/>
        <v>East-Eve</v>
      </c>
      <c r="O871">
        <f t="shared" si="66"/>
        <v>57048.240000000005</v>
      </c>
      <c r="P871">
        <f t="shared" si="67"/>
        <v>60968.88</v>
      </c>
      <c r="Q871">
        <f t="shared" si="68"/>
        <v>3920.6399999999921</v>
      </c>
      <c r="R871">
        <f t="shared" si="69"/>
        <v>6.4305593279718964</v>
      </c>
    </row>
    <row r="872" spans="1:18" x14ac:dyDescent="0.35">
      <c r="A872">
        <v>1091</v>
      </c>
      <c r="B872" s="1">
        <v>45200</v>
      </c>
      <c r="C872" t="s">
        <v>32</v>
      </c>
      <c r="D872" t="s">
        <v>30</v>
      </c>
      <c r="E872">
        <v>3917.42</v>
      </c>
      <c r="F872">
        <v>15</v>
      </c>
      <c r="G872" t="s">
        <v>31</v>
      </c>
      <c r="H872">
        <v>1534.7</v>
      </c>
      <c r="I872">
        <v>1972.62</v>
      </c>
      <c r="J872" t="s">
        <v>17</v>
      </c>
      <c r="K872">
        <v>0.06</v>
      </c>
      <c r="L872" t="s">
        <v>28</v>
      </c>
      <c r="M872" t="s">
        <v>21</v>
      </c>
      <c r="N872" t="str">
        <f t="shared" si="65"/>
        <v>East-Eve</v>
      </c>
      <c r="O872">
        <f t="shared" si="66"/>
        <v>23020.5</v>
      </c>
      <c r="P872">
        <f t="shared" si="67"/>
        <v>29589.3</v>
      </c>
      <c r="Q872">
        <f t="shared" si="68"/>
        <v>6568.7999999999993</v>
      </c>
      <c r="R872">
        <f t="shared" si="69"/>
        <v>22.199916861838567</v>
      </c>
    </row>
    <row r="873" spans="1:18" x14ac:dyDescent="0.35">
      <c r="A873">
        <v>1051</v>
      </c>
      <c r="B873" s="1">
        <v>45246</v>
      </c>
      <c r="C873" t="s">
        <v>14</v>
      </c>
      <c r="D873" t="s">
        <v>20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27</v>
      </c>
      <c r="K873">
        <v>7.0000000000000007E-2</v>
      </c>
      <c r="L873" t="s">
        <v>25</v>
      </c>
      <c r="M873" t="s">
        <v>19</v>
      </c>
      <c r="N873" t="str">
        <f t="shared" si="65"/>
        <v>West-Bob</v>
      </c>
      <c r="O873">
        <f t="shared" si="66"/>
        <v>4491.28</v>
      </c>
      <c r="P873">
        <f t="shared" si="67"/>
        <v>5433.99</v>
      </c>
      <c r="Q873">
        <f t="shared" si="68"/>
        <v>942.71</v>
      </c>
      <c r="R873">
        <f t="shared" si="69"/>
        <v>17.348394089794056</v>
      </c>
    </row>
    <row r="874" spans="1:18" x14ac:dyDescent="0.35">
      <c r="A874">
        <v>1063</v>
      </c>
      <c r="B874" s="1">
        <v>45264</v>
      </c>
      <c r="C874" t="s">
        <v>22</v>
      </c>
      <c r="D874" t="s">
        <v>23</v>
      </c>
      <c r="E874">
        <v>2186.85</v>
      </c>
      <c r="F874">
        <v>14</v>
      </c>
      <c r="G874" t="s">
        <v>26</v>
      </c>
      <c r="H874">
        <v>2188.35</v>
      </c>
      <c r="I874">
        <v>2605.3599999999901</v>
      </c>
      <c r="J874" t="s">
        <v>17</v>
      </c>
      <c r="K874">
        <v>0.2</v>
      </c>
      <c r="L874" t="s">
        <v>28</v>
      </c>
      <c r="M874" t="s">
        <v>21</v>
      </c>
      <c r="N874" t="str">
        <f t="shared" si="65"/>
        <v>South-David</v>
      </c>
      <c r="O874">
        <f t="shared" si="66"/>
        <v>30636.899999999998</v>
      </c>
      <c r="P874">
        <f t="shared" si="67"/>
        <v>36475.039999999863</v>
      </c>
      <c r="Q874">
        <f t="shared" si="68"/>
        <v>5838.1399999998648</v>
      </c>
      <c r="R874">
        <f t="shared" si="69"/>
        <v>16.005849479534188</v>
      </c>
    </row>
    <row r="875" spans="1:18" x14ac:dyDescent="0.35">
      <c r="A875">
        <v>1098</v>
      </c>
      <c r="B875" s="1">
        <v>45292</v>
      </c>
      <c r="C875" t="s">
        <v>14</v>
      </c>
      <c r="D875" t="s">
        <v>23</v>
      </c>
      <c r="E875">
        <v>2370.7199999999998</v>
      </c>
      <c r="F875">
        <v>11</v>
      </c>
      <c r="G875" t="s">
        <v>26</v>
      </c>
      <c r="H875">
        <v>213.41</v>
      </c>
      <c r="I875">
        <v>503.36</v>
      </c>
      <c r="J875" t="s">
        <v>17</v>
      </c>
      <c r="K875">
        <v>0.27</v>
      </c>
      <c r="L875" t="s">
        <v>25</v>
      </c>
      <c r="M875" t="s">
        <v>19</v>
      </c>
      <c r="N875" t="str">
        <f t="shared" si="65"/>
        <v>South-Bob</v>
      </c>
      <c r="O875">
        <f t="shared" si="66"/>
        <v>2347.5099999999998</v>
      </c>
      <c r="P875">
        <f t="shared" si="67"/>
        <v>5536.96</v>
      </c>
      <c r="Q875">
        <f t="shared" si="68"/>
        <v>3189.4500000000003</v>
      </c>
      <c r="R875">
        <f t="shared" si="69"/>
        <v>57.602908455181193</v>
      </c>
    </row>
    <row r="876" spans="1:18" x14ac:dyDescent="0.35">
      <c r="A876">
        <v>1052</v>
      </c>
      <c r="B876" s="1">
        <v>45021</v>
      </c>
      <c r="C876" t="s">
        <v>29</v>
      </c>
      <c r="D876" t="s">
        <v>23</v>
      </c>
      <c r="E876">
        <v>4744.16</v>
      </c>
      <c r="F876">
        <v>26</v>
      </c>
      <c r="G876" t="s">
        <v>26</v>
      </c>
      <c r="H876">
        <v>4771.99</v>
      </c>
      <c r="I876">
        <v>5079.6499999999996</v>
      </c>
      <c r="J876" t="s">
        <v>27</v>
      </c>
      <c r="K876">
        <v>0.28999999999999998</v>
      </c>
      <c r="L876" t="s">
        <v>28</v>
      </c>
      <c r="M876" t="s">
        <v>19</v>
      </c>
      <c r="N876" t="str">
        <f t="shared" si="65"/>
        <v>South-Charlie</v>
      </c>
      <c r="O876">
        <f t="shared" si="66"/>
        <v>124071.73999999999</v>
      </c>
      <c r="P876">
        <f t="shared" si="67"/>
        <v>132070.9</v>
      </c>
      <c r="Q876">
        <f t="shared" si="68"/>
        <v>7999.1600000000035</v>
      </c>
      <c r="R876">
        <f t="shared" si="69"/>
        <v>6.0567165060584909</v>
      </c>
    </row>
    <row r="877" spans="1:18" x14ac:dyDescent="0.35">
      <c r="A877">
        <v>1038</v>
      </c>
      <c r="B877" s="1">
        <v>45092</v>
      </c>
      <c r="C877" t="s">
        <v>33</v>
      </c>
      <c r="D877" t="s">
        <v>20</v>
      </c>
      <c r="E877">
        <v>2758.77</v>
      </c>
      <c r="F877">
        <v>42</v>
      </c>
      <c r="G877" t="s">
        <v>24</v>
      </c>
      <c r="H877">
        <v>1089.0899999999999</v>
      </c>
      <c r="I877">
        <v>1355.44</v>
      </c>
      <c r="J877" t="s">
        <v>27</v>
      </c>
      <c r="K877">
        <v>0.06</v>
      </c>
      <c r="L877" t="s">
        <v>18</v>
      </c>
      <c r="M877" t="s">
        <v>21</v>
      </c>
      <c r="N877" t="str">
        <f t="shared" si="65"/>
        <v>West-Alice</v>
      </c>
      <c r="O877">
        <f t="shared" si="66"/>
        <v>45741.78</v>
      </c>
      <c r="P877">
        <f t="shared" si="67"/>
        <v>56928.480000000003</v>
      </c>
      <c r="Q877">
        <f t="shared" si="68"/>
        <v>11186.700000000004</v>
      </c>
      <c r="R877">
        <f t="shared" si="69"/>
        <v>19.650445611757075</v>
      </c>
    </row>
    <row r="878" spans="1:18" x14ac:dyDescent="0.35">
      <c r="A878">
        <v>1097</v>
      </c>
      <c r="B878" s="1">
        <v>44958</v>
      </c>
      <c r="C878" t="s">
        <v>33</v>
      </c>
      <c r="D878" t="s">
        <v>20</v>
      </c>
      <c r="E878">
        <v>1099.68</v>
      </c>
      <c r="F878">
        <v>27</v>
      </c>
      <c r="G878" t="s">
        <v>31</v>
      </c>
      <c r="H878">
        <v>3955.19</v>
      </c>
      <c r="I878">
        <v>4393.68</v>
      </c>
      <c r="J878" t="s">
        <v>17</v>
      </c>
      <c r="K878">
        <v>0.04</v>
      </c>
      <c r="L878" t="s">
        <v>28</v>
      </c>
      <c r="M878" t="s">
        <v>19</v>
      </c>
      <c r="N878" t="str">
        <f t="shared" si="65"/>
        <v>West-Alice</v>
      </c>
      <c r="O878">
        <f t="shared" si="66"/>
        <v>106790.13</v>
      </c>
      <c r="P878">
        <f t="shared" si="67"/>
        <v>118629.36000000002</v>
      </c>
      <c r="Q878">
        <f t="shared" si="68"/>
        <v>11839.23000000001</v>
      </c>
      <c r="R878">
        <f t="shared" si="69"/>
        <v>9.980016751333741</v>
      </c>
    </row>
    <row r="879" spans="1:18" x14ac:dyDescent="0.35">
      <c r="A879">
        <v>1088</v>
      </c>
      <c r="B879" s="1">
        <v>44937</v>
      </c>
      <c r="C879" t="s">
        <v>33</v>
      </c>
      <c r="D879" t="s">
        <v>23</v>
      </c>
      <c r="E879">
        <v>1758.16</v>
      </c>
      <c r="F879">
        <v>11</v>
      </c>
      <c r="G879" t="s">
        <v>24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tr">
        <f t="shared" si="65"/>
        <v>South-Alice</v>
      </c>
      <c r="O879">
        <f t="shared" si="66"/>
        <v>42725.43</v>
      </c>
      <c r="P879">
        <f t="shared" si="67"/>
        <v>43069.509999999995</v>
      </c>
      <c r="Q879">
        <f t="shared" si="68"/>
        <v>344.07999999999447</v>
      </c>
      <c r="R879">
        <f t="shared" si="69"/>
        <v>0.79889462406234601</v>
      </c>
    </row>
    <row r="880" spans="1:18" x14ac:dyDescent="0.35">
      <c r="A880">
        <v>1079</v>
      </c>
      <c r="B880" s="1">
        <v>45227</v>
      </c>
      <c r="C880" t="s">
        <v>14</v>
      </c>
      <c r="D880" t="s">
        <v>20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25</v>
      </c>
      <c r="M880" t="s">
        <v>21</v>
      </c>
      <c r="N880" t="str">
        <f t="shared" si="65"/>
        <v>West-Bob</v>
      </c>
      <c r="O880">
        <f t="shared" si="66"/>
        <v>42854.879999999997</v>
      </c>
      <c r="P880">
        <f t="shared" si="67"/>
        <v>48095.08</v>
      </c>
      <c r="Q880">
        <f t="shared" si="68"/>
        <v>5240.2000000000044</v>
      </c>
      <c r="R880">
        <f t="shared" si="69"/>
        <v>10.895501161449371</v>
      </c>
    </row>
    <row r="881" spans="1:18" x14ac:dyDescent="0.35">
      <c r="A881">
        <v>1030</v>
      </c>
      <c r="B881" s="1">
        <v>45143</v>
      </c>
      <c r="C881" t="s">
        <v>14</v>
      </c>
      <c r="D881" t="s">
        <v>20</v>
      </c>
      <c r="E881">
        <v>9733.4599999999991</v>
      </c>
      <c r="F881">
        <v>34</v>
      </c>
      <c r="G881" t="s">
        <v>31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tr">
        <f t="shared" si="65"/>
        <v>West-Bob</v>
      </c>
      <c r="O881">
        <f t="shared" si="66"/>
        <v>106252.38</v>
      </c>
      <c r="P881">
        <f t="shared" si="67"/>
        <v>121182.46</v>
      </c>
      <c r="Q881">
        <f t="shared" si="68"/>
        <v>14930.080000000002</v>
      </c>
      <c r="R881">
        <f t="shared" si="69"/>
        <v>12.320330846559809</v>
      </c>
    </row>
    <row r="882" spans="1:18" x14ac:dyDescent="0.35">
      <c r="A882">
        <v>1051</v>
      </c>
      <c r="B882" s="1">
        <v>45215</v>
      </c>
      <c r="C882" t="s">
        <v>33</v>
      </c>
      <c r="D882" t="s">
        <v>20</v>
      </c>
      <c r="E882">
        <v>7617</v>
      </c>
      <c r="F882">
        <v>43</v>
      </c>
      <c r="G882" t="s">
        <v>26</v>
      </c>
      <c r="H882">
        <v>287.99</v>
      </c>
      <c r="I882">
        <v>666.64</v>
      </c>
      <c r="J882" t="s">
        <v>17</v>
      </c>
      <c r="K882">
        <v>0</v>
      </c>
      <c r="L882" t="s">
        <v>25</v>
      </c>
      <c r="M882" t="s">
        <v>19</v>
      </c>
      <c r="N882" t="str">
        <f t="shared" si="65"/>
        <v>West-Alice</v>
      </c>
      <c r="O882">
        <f t="shared" si="66"/>
        <v>12383.57</v>
      </c>
      <c r="P882">
        <f t="shared" si="67"/>
        <v>28665.52</v>
      </c>
      <c r="Q882">
        <f t="shared" si="68"/>
        <v>16281.95</v>
      </c>
      <c r="R882">
        <f t="shared" si="69"/>
        <v>56.799771990879634</v>
      </c>
    </row>
    <row r="883" spans="1:18" x14ac:dyDescent="0.35">
      <c r="A883">
        <v>1081</v>
      </c>
      <c r="B883" s="1">
        <v>45028</v>
      </c>
      <c r="C883" t="s">
        <v>14</v>
      </c>
      <c r="D883" t="s">
        <v>23</v>
      </c>
      <c r="E883">
        <v>9680.84</v>
      </c>
      <c r="F883">
        <v>19</v>
      </c>
      <c r="G883" t="s">
        <v>24</v>
      </c>
      <c r="H883">
        <v>2443.69</v>
      </c>
      <c r="I883">
        <v>2462.34</v>
      </c>
      <c r="J883" t="s">
        <v>27</v>
      </c>
      <c r="K883">
        <v>7.0000000000000007E-2</v>
      </c>
      <c r="L883" t="s">
        <v>25</v>
      </c>
      <c r="M883" t="s">
        <v>21</v>
      </c>
      <c r="N883" t="str">
        <f t="shared" si="65"/>
        <v>South-Bob</v>
      </c>
      <c r="O883">
        <f t="shared" si="66"/>
        <v>46430.11</v>
      </c>
      <c r="P883">
        <f t="shared" si="67"/>
        <v>46784.460000000006</v>
      </c>
      <c r="Q883">
        <f t="shared" si="68"/>
        <v>354.35000000000582</v>
      </c>
      <c r="R883">
        <f t="shared" si="69"/>
        <v>0.75740961849299049</v>
      </c>
    </row>
    <row r="884" spans="1:18" x14ac:dyDescent="0.35">
      <c r="A884">
        <v>1005</v>
      </c>
      <c r="B884" s="1">
        <v>45193</v>
      </c>
      <c r="C884" t="s">
        <v>32</v>
      </c>
      <c r="D884" t="s">
        <v>23</v>
      </c>
      <c r="E884">
        <v>4453.43</v>
      </c>
      <c r="F884">
        <v>6</v>
      </c>
      <c r="G884" t="s">
        <v>24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21</v>
      </c>
      <c r="N884" t="str">
        <f t="shared" si="65"/>
        <v>South-Eve</v>
      </c>
      <c r="O884">
        <f t="shared" si="66"/>
        <v>735</v>
      </c>
      <c r="P884">
        <f t="shared" si="67"/>
        <v>2314.98</v>
      </c>
      <c r="Q884">
        <f t="shared" si="68"/>
        <v>1579.98</v>
      </c>
      <c r="R884">
        <f t="shared" si="69"/>
        <v>68.250265661042434</v>
      </c>
    </row>
    <row r="885" spans="1:18" x14ac:dyDescent="0.35">
      <c r="A885">
        <v>1029</v>
      </c>
      <c r="B885" s="1">
        <v>45140</v>
      </c>
      <c r="C885" t="s">
        <v>32</v>
      </c>
      <c r="D885" t="s">
        <v>23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21</v>
      </c>
      <c r="N885" t="str">
        <f t="shared" si="65"/>
        <v>South-Eve</v>
      </c>
      <c r="O885">
        <f t="shared" si="66"/>
        <v>212044.36</v>
      </c>
      <c r="P885">
        <f t="shared" si="67"/>
        <v>224440.9</v>
      </c>
      <c r="Q885">
        <f t="shared" si="68"/>
        <v>12396.540000000008</v>
      </c>
      <c r="R885">
        <f t="shared" si="69"/>
        <v>5.5232981154504408</v>
      </c>
    </row>
    <row r="886" spans="1:18" x14ac:dyDescent="0.35">
      <c r="A886">
        <v>1004</v>
      </c>
      <c r="B886" s="1">
        <v>45105</v>
      </c>
      <c r="C886" t="s">
        <v>14</v>
      </c>
      <c r="D886" t="s">
        <v>20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28</v>
      </c>
      <c r="M886" t="s">
        <v>21</v>
      </c>
      <c r="N886" t="str">
        <f t="shared" si="65"/>
        <v>West-Bob</v>
      </c>
      <c r="O886">
        <f t="shared" si="66"/>
        <v>185501.94</v>
      </c>
      <c r="P886">
        <f t="shared" si="67"/>
        <v>193346.28000000003</v>
      </c>
      <c r="Q886">
        <f t="shared" si="68"/>
        <v>7844.3400000000256</v>
      </c>
      <c r="R886">
        <f t="shared" si="69"/>
        <v>4.0571455525288744</v>
      </c>
    </row>
    <row r="887" spans="1:18" x14ac:dyDescent="0.35">
      <c r="A887">
        <v>1010</v>
      </c>
      <c r="B887" s="1">
        <v>45014</v>
      </c>
      <c r="C887" t="s">
        <v>33</v>
      </c>
      <c r="D887" t="s">
        <v>23</v>
      </c>
      <c r="E887">
        <v>3329.91</v>
      </c>
      <c r="F887">
        <v>49</v>
      </c>
      <c r="G887" t="s">
        <v>24</v>
      </c>
      <c r="H887">
        <v>1150.3</v>
      </c>
      <c r="I887">
        <v>1306.02</v>
      </c>
      <c r="J887" t="s">
        <v>27</v>
      </c>
      <c r="K887">
        <v>0.06</v>
      </c>
      <c r="L887" t="s">
        <v>28</v>
      </c>
      <c r="M887" t="s">
        <v>21</v>
      </c>
      <c r="N887" t="str">
        <f t="shared" si="65"/>
        <v>South-Alice</v>
      </c>
      <c r="O887">
        <f t="shared" si="66"/>
        <v>56364.7</v>
      </c>
      <c r="P887">
        <f t="shared" si="67"/>
        <v>63994.979999999996</v>
      </c>
      <c r="Q887">
        <f t="shared" si="68"/>
        <v>7630.2799999999988</v>
      </c>
      <c r="R887">
        <f t="shared" si="69"/>
        <v>11.923247729743801</v>
      </c>
    </row>
    <row r="888" spans="1:18" x14ac:dyDescent="0.35">
      <c r="A888">
        <v>1056</v>
      </c>
      <c r="B888" s="1">
        <v>44967</v>
      </c>
      <c r="C888" t="s">
        <v>14</v>
      </c>
      <c r="D888" t="s">
        <v>20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27</v>
      </c>
      <c r="K888">
        <v>0.1</v>
      </c>
      <c r="L888" t="s">
        <v>18</v>
      </c>
      <c r="M888" t="s">
        <v>19</v>
      </c>
      <c r="N888" t="str">
        <f t="shared" si="65"/>
        <v>West-Bob</v>
      </c>
      <c r="O888">
        <f t="shared" si="66"/>
        <v>45365.039999999994</v>
      </c>
      <c r="P888">
        <f t="shared" si="67"/>
        <v>59815.139999999585</v>
      </c>
      <c r="Q888">
        <f t="shared" si="68"/>
        <v>14450.099999999591</v>
      </c>
      <c r="R888">
        <f t="shared" si="69"/>
        <v>24.157930584129186</v>
      </c>
    </row>
    <row r="889" spans="1:18" x14ac:dyDescent="0.3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26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21</v>
      </c>
      <c r="N889" t="str">
        <f t="shared" si="65"/>
        <v>North-Bob</v>
      </c>
      <c r="O889">
        <f t="shared" si="66"/>
        <v>105865.48</v>
      </c>
      <c r="P889">
        <f t="shared" si="67"/>
        <v>108996.44</v>
      </c>
      <c r="Q889">
        <f t="shared" si="68"/>
        <v>3130.9600000000064</v>
      </c>
      <c r="R889">
        <f t="shared" si="69"/>
        <v>2.8725341855201934</v>
      </c>
    </row>
    <row r="890" spans="1:18" x14ac:dyDescent="0.35">
      <c r="A890">
        <v>1074</v>
      </c>
      <c r="B890" s="1">
        <v>44972</v>
      </c>
      <c r="C890" t="s">
        <v>14</v>
      </c>
      <c r="D890" t="s">
        <v>20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21</v>
      </c>
      <c r="N890" t="str">
        <f t="shared" si="65"/>
        <v>West-Bob</v>
      </c>
      <c r="O890">
        <f t="shared" si="66"/>
        <v>1304.23</v>
      </c>
      <c r="P890">
        <f t="shared" si="67"/>
        <v>1705.71</v>
      </c>
      <c r="Q890">
        <f t="shared" si="68"/>
        <v>401.48</v>
      </c>
      <c r="R890">
        <f t="shared" si="69"/>
        <v>23.537412573063417</v>
      </c>
    </row>
    <row r="891" spans="1:18" x14ac:dyDescent="0.35">
      <c r="A891">
        <v>1017</v>
      </c>
      <c r="B891" s="1">
        <v>45086</v>
      </c>
      <c r="C891" t="s">
        <v>29</v>
      </c>
      <c r="D891" t="s">
        <v>30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27</v>
      </c>
      <c r="K891">
        <v>0.04</v>
      </c>
      <c r="L891" t="s">
        <v>18</v>
      </c>
      <c r="M891" t="s">
        <v>19</v>
      </c>
      <c r="N891" t="str">
        <f t="shared" si="65"/>
        <v>East-Charlie</v>
      </c>
      <c r="O891">
        <f t="shared" si="66"/>
        <v>156822.05000000002</v>
      </c>
      <c r="P891">
        <f t="shared" si="67"/>
        <v>170944.19999999998</v>
      </c>
      <c r="Q891">
        <f t="shared" si="68"/>
        <v>14122.149999999965</v>
      </c>
      <c r="R891">
        <f t="shared" si="69"/>
        <v>8.2612630320303158</v>
      </c>
    </row>
    <row r="892" spans="1:18" x14ac:dyDescent="0.35">
      <c r="A892">
        <v>1084</v>
      </c>
      <c r="B892" s="1">
        <v>45006</v>
      </c>
      <c r="C892" t="s">
        <v>32</v>
      </c>
      <c r="D892" t="s">
        <v>23</v>
      </c>
      <c r="E892">
        <v>3617.67</v>
      </c>
      <c r="F892">
        <v>40</v>
      </c>
      <c r="G892" t="s">
        <v>24</v>
      </c>
      <c r="H892">
        <v>2890.95</v>
      </c>
      <c r="I892">
        <v>3104.43</v>
      </c>
      <c r="J892" t="s">
        <v>27</v>
      </c>
      <c r="K892">
        <v>0.21</v>
      </c>
      <c r="L892" t="s">
        <v>25</v>
      </c>
      <c r="M892" t="s">
        <v>19</v>
      </c>
      <c r="N892" t="str">
        <f t="shared" si="65"/>
        <v>South-Eve</v>
      </c>
      <c r="O892">
        <f t="shared" si="66"/>
        <v>115638</v>
      </c>
      <c r="P892">
        <f t="shared" si="67"/>
        <v>124177.2</v>
      </c>
      <c r="Q892">
        <f t="shared" si="68"/>
        <v>8539.1999999999971</v>
      </c>
      <c r="R892">
        <f t="shared" si="69"/>
        <v>6.8766246943883393</v>
      </c>
    </row>
    <row r="893" spans="1:18" x14ac:dyDescent="0.35">
      <c r="A893">
        <v>1088</v>
      </c>
      <c r="B893" s="1">
        <v>45236</v>
      </c>
      <c r="C893" t="s">
        <v>22</v>
      </c>
      <c r="D893" t="s">
        <v>23</v>
      </c>
      <c r="E893">
        <v>6772.54</v>
      </c>
      <c r="F893">
        <v>8</v>
      </c>
      <c r="G893" t="s">
        <v>24</v>
      </c>
      <c r="H893">
        <v>1786.35</v>
      </c>
      <c r="I893">
        <v>1935.29</v>
      </c>
      <c r="J893" t="s">
        <v>27</v>
      </c>
      <c r="K893">
        <v>0.04</v>
      </c>
      <c r="L893" t="s">
        <v>18</v>
      </c>
      <c r="M893" t="s">
        <v>19</v>
      </c>
      <c r="N893" t="str">
        <f t="shared" si="65"/>
        <v>South-David</v>
      </c>
      <c r="O893">
        <f t="shared" si="66"/>
        <v>14290.8</v>
      </c>
      <c r="P893">
        <f t="shared" si="67"/>
        <v>15482.32</v>
      </c>
      <c r="Q893">
        <f t="shared" si="68"/>
        <v>1191.5200000000004</v>
      </c>
      <c r="R893">
        <f t="shared" si="69"/>
        <v>7.696004216422347</v>
      </c>
    </row>
    <row r="894" spans="1:18" x14ac:dyDescent="0.35">
      <c r="A894">
        <v>1069</v>
      </c>
      <c r="B894" s="1">
        <v>45012</v>
      </c>
      <c r="C894" t="s">
        <v>22</v>
      </c>
      <c r="D894" t="s">
        <v>30</v>
      </c>
      <c r="E894">
        <v>719.39</v>
      </c>
      <c r="F894">
        <v>47</v>
      </c>
      <c r="G894" t="s">
        <v>31</v>
      </c>
      <c r="H894">
        <v>4171.83</v>
      </c>
      <c r="I894">
        <v>4320.93</v>
      </c>
      <c r="J894" t="s">
        <v>27</v>
      </c>
      <c r="K894">
        <v>7.0000000000000007E-2</v>
      </c>
      <c r="L894" t="s">
        <v>18</v>
      </c>
      <c r="M894" t="s">
        <v>19</v>
      </c>
      <c r="N894" t="str">
        <f t="shared" si="65"/>
        <v>East-David</v>
      </c>
      <c r="O894">
        <f t="shared" si="66"/>
        <v>196076.01</v>
      </c>
      <c r="P894">
        <f t="shared" si="67"/>
        <v>203083.71000000002</v>
      </c>
      <c r="Q894">
        <f t="shared" si="68"/>
        <v>7007.7000000000116</v>
      </c>
      <c r="R894">
        <f t="shared" si="69"/>
        <v>3.4506460414771873</v>
      </c>
    </row>
    <row r="895" spans="1:18" x14ac:dyDescent="0.35">
      <c r="A895">
        <v>1034</v>
      </c>
      <c r="B895" s="1">
        <v>45018</v>
      </c>
      <c r="C895" t="s">
        <v>29</v>
      </c>
      <c r="D895" t="s">
        <v>20</v>
      </c>
      <c r="E895">
        <v>2184.02</v>
      </c>
      <c r="F895">
        <v>7</v>
      </c>
      <c r="G895" t="s">
        <v>31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tr">
        <f t="shared" si="65"/>
        <v>West-Charlie</v>
      </c>
      <c r="O895">
        <f t="shared" si="66"/>
        <v>17446.52</v>
      </c>
      <c r="P895">
        <f t="shared" si="67"/>
        <v>19170.759999999998</v>
      </c>
      <c r="Q895">
        <f t="shared" si="68"/>
        <v>1724.239999999998</v>
      </c>
      <c r="R895">
        <f t="shared" si="69"/>
        <v>8.9941139527071332</v>
      </c>
    </row>
    <row r="896" spans="1:18" x14ac:dyDescent="0.3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24</v>
      </c>
      <c r="H896">
        <v>4562.58</v>
      </c>
      <c r="I896">
        <v>4925.17</v>
      </c>
      <c r="J896" t="s">
        <v>27</v>
      </c>
      <c r="K896">
        <v>0.23</v>
      </c>
      <c r="L896" t="s">
        <v>18</v>
      </c>
      <c r="M896" t="s">
        <v>21</v>
      </c>
      <c r="N896" t="str">
        <f t="shared" si="65"/>
        <v>North-Bob</v>
      </c>
      <c r="O896">
        <f t="shared" si="66"/>
        <v>50188.38</v>
      </c>
      <c r="P896">
        <f t="shared" si="67"/>
        <v>54176.87</v>
      </c>
      <c r="Q896">
        <f t="shared" si="68"/>
        <v>3988.4900000000052</v>
      </c>
      <c r="R896">
        <f t="shared" si="69"/>
        <v>7.3619793834527627</v>
      </c>
    </row>
    <row r="897" spans="1:18" x14ac:dyDescent="0.35">
      <c r="A897">
        <v>1053</v>
      </c>
      <c r="B897" s="1">
        <v>45087</v>
      </c>
      <c r="C897" t="s">
        <v>29</v>
      </c>
      <c r="D897" t="s">
        <v>30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25</v>
      </c>
      <c r="M897" t="s">
        <v>19</v>
      </c>
      <c r="N897" t="str">
        <f t="shared" si="65"/>
        <v>East-Charlie</v>
      </c>
      <c r="O897">
        <f t="shared" si="66"/>
        <v>181103.13</v>
      </c>
      <c r="P897">
        <f t="shared" si="67"/>
        <v>188351.28000000003</v>
      </c>
      <c r="Q897">
        <f t="shared" si="68"/>
        <v>7248.1500000000233</v>
      </c>
      <c r="R897">
        <f t="shared" si="69"/>
        <v>3.8482085176166692</v>
      </c>
    </row>
    <row r="898" spans="1:18" x14ac:dyDescent="0.35">
      <c r="A898">
        <v>1066</v>
      </c>
      <c r="B898" s="1">
        <v>45128</v>
      </c>
      <c r="C898" t="s">
        <v>29</v>
      </c>
      <c r="D898" t="s">
        <v>30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28</v>
      </c>
      <c r="M898" t="s">
        <v>21</v>
      </c>
      <c r="N898" t="str">
        <f t="shared" si="65"/>
        <v>East-Charlie</v>
      </c>
      <c r="O898">
        <f t="shared" si="66"/>
        <v>3475.32</v>
      </c>
      <c r="P898">
        <f t="shared" si="67"/>
        <v>4711</v>
      </c>
      <c r="Q898">
        <f t="shared" si="68"/>
        <v>1235.6799999999998</v>
      </c>
      <c r="R898">
        <f t="shared" si="69"/>
        <v>26.229675228189343</v>
      </c>
    </row>
    <row r="899" spans="1:18" x14ac:dyDescent="0.35">
      <c r="A899">
        <v>1077</v>
      </c>
      <c r="B899" s="1">
        <v>45168</v>
      </c>
      <c r="C899" t="s">
        <v>33</v>
      </c>
      <c r="D899" t="s">
        <v>20</v>
      </c>
      <c r="E899">
        <v>8660.1200000000008</v>
      </c>
      <c r="F899">
        <v>25</v>
      </c>
      <c r="G899" t="s">
        <v>31</v>
      </c>
      <c r="H899">
        <v>61.5</v>
      </c>
      <c r="I899">
        <v>258.91999999999899</v>
      </c>
      <c r="J899" t="s">
        <v>27</v>
      </c>
      <c r="K899">
        <v>0.17</v>
      </c>
      <c r="L899" t="s">
        <v>28</v>
      </c>
      <c r="M899" t="s">
        <v>19</v>
      </c>
      <c r="N899" t="str">
        <f t="shared" ref="N899:N962" si="70">D899 &amp; "-" &amp; C899</f>
        <v>West-Alice</v>
      </c>
      <c r="O899">
        <f t="shared" ref="O899:O962" si="71">F899*H899</f>
        <v>1537.5</v>
      </c>
      <c r="P899">
        <f t="shared" ref="P899:P962" si="72">F899*I899</f>
        <v>6472.9999999999745</v>
      </c>
      <c r="Q899">
        <f t="shared" ref="Q899:Q962" si="73">P899-O899</f>
        <v>4935.4999999999745</v>
      </c>
      <c r="R899">
        <f t="shared" ref="R899:R962" si="74">(Q899/P899)*100</f>
        <v>76.247489572068488</v>
      </c>
    </row>
    <row r="900" spans="1:18" x14ac:dyDescent="0.35">
      <c r="A900">
        <v>1043</v>
      </c>
      <c r="B900" s="1">
        <v>45279</v>
      </c>
      <c r="C900" t="s">
        <v>32</v>
      </c>
      <c r="D900" t="s">
        <v>23</v>
      </c>
      <c r="E900">
        <v>1633.76</v>
      </c>
      <c r="F900">
        <v>12</v>
      </c>
      <c r="G900" t="s">
        <v>31</v>
      </c>
      <c r="H900">
        <v>4920.46</v>
      </c>
      <c r="I900">
        <v>5079.68</v>
      </c>
      <c r="J900" t="s">
        <v>27</v>
      </c>
      <c r="K900">
        <v>0.21</v>
      </c>
      <c r="L900" t="s">
        <v>28</v>
      </c>
      <c r="M900" t="s">
        <v>21</v>
      </c>
      <c r="N900" t="str">
        <f t="shared" si="70"/>
        <v>South-Eve</v>
      </c>
      <c r="O900">
        <f t="shared" si="71"/>
        <v>59045.520000000004</v>
      </c>
      <c r="P900">
        <f t="shared" si="72"/>
        <v>60956.160000000003</v>
      </c>
      <c r="Q900">
        <f t="shared" si="73"/>
        <v>1910.6399999999994</v>
      </c>
      <c r="R900">
        <f t="shared" si="74"/>
        <v>3.1344494141363226</v>
      </c>
    </row>
    <row r="901" spans="1:18" x14ac:dyDescent="0.35">
      <c r="A901">
        <v>1075</v>
      </c>
      <c r="B901" s="1">
        <v>44928</v>
      </c>
      <c r="C901" t="s">
        <v>22</v>
      </c>
      <c r="D901" t="s">
        <v>20</v>
      </c>
      <c r="E901">
        <v>919.09</v>
      </c>
      <c r="F901">
        <v>26</v>
      </c>
      <c r="G901" t="s">
        <v>31</v>
      </c>
      <c r="H901">
        <v>4535.38</v>
      </c>
      <c r="I901">
        <v>4557.5600000000004</v>
      </c>
      <c r="J901" t="s">
        <v>27</v>
      </c>
      <c r="K901">
        <v>0</v>
      </c>
      <c r="L901" t="s">
        <v>28</v>
      </c>
      <c r="M901" t="s">
        <v>19</v>
      </c>
      <c r="N901" t="str">
        <f t="shared" si="70"/>
        <v>West-David</v>
      </c>
      <c r="O901">
        <f t="shared" si="71"/>
        <v>117919.88</v>
      </c>
      <c r="P901">
        <f t="shared" si="72"/>
        <v>118496.56000000001</v>
      </c>
      <c r="Q901">
        <f t="shared" si="73"/>
        <v>576.68000000000757</v>
      </c>
      <c r="R901">
        <f t="shared" si="74"/>
        <v>0.48666391665716496</v>
      </c>
    </row>
    <row r="902" spans="1:18" x14ac:dyDescent="0.35">
      <c r="A902">
        <v>1023</v>
      </c>
      <c r="B902" s="1">
        <v>45151</v>
      </c>
      <c r="C902" t="s">
        <v>14</v>
      </c>
      <c r="D902" t="s">
        <v>30</v>
      </c>
      <c r="E902">
        <v>4896.93</v>
      </c>
      <c r="F902">
        <v>38</v>
      </c>
      <c r="G902" t="s">
        <v>26</v>
      </c>
      <c r="H902">
        <v>324.45</v>
      </c>
      <c r="I902">
        <v>336.37</v>
      </c>
      <c r="J902" t="s">
        <v>27</v>
      </c>
      <c r="K902">
        <v>0.28000000000000003</v>
      </c>
      <c r="L902" t="s">
        <v>28</v>
      </c>
      <c r="M902" t="s">
        <v>21</v>
      </c>
      <c r="N902" t="str">
        <f t="shared" si="70"/>
        <v>East-Bob</v>
      </c>
      <c r="O902">
        <f t="shared" si="71"/>
        <v>12329.1</v>
      </c>
      <c r="P902">
        <f t="shared" si="72"/>
        <v>12782.06</v>
      </c>
      <c r="Q902">
        <f t="shared" si="73"/>
        <v>452.95999999999913</v>
      </c>
      <c r="R902">
        <f t="shared" si="74"/>
        <v>3.5437167404940921</v>
      </c>
    </row>
    <row r="903" spans="1:18" x14ac:dyDescent="0.35">
      <c r="A903">
        <v>1055</v>
      </c>
      <c r="B903" s="1">
        <v>45215</v>
      </c>
      <c r="C903" t="s">
        <v>22</v>
      </c>
      <c r="D903" t="s">
        <v>30</v>
      </c>
      <c r="E903">
        <v>3093.95</v>
      </c>
      <c r="F903">
        <v>46</v>
      </c>
      <c r="G903" t="s">
        <v>26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25</v>
      </c>
      <c r="M903" t="s">
        <v>21</v>
      </c>
      <c r="N903" t="str">
        <f t="shared" si="70"/>
        <v>East-David</v>
      </c>
      <c r="O903">
        <f t="shared" si="71"/>
        <v>191981.92</v>
      </c>
      <c r="P903">
        <f t="shared" si="72"/>
        <v>197563.1</v>
      </c>
      <c r="Q903">
        <f t="shared" si="73"/>
        <v>5581.179999999993</v>
      </c>
      <c r="R903">
        <f t="shared" si="74"/>
        <v>2.8250113508038659</v>
      </c>
    </row>
    <row r="904" spans="1:18" x14ac:dyDescent="0.35">
      <c r="A904">
        <v>1080</v>
      </c>
      <c r="B904" s="1">
        <v>45159</v>
      </c>
      <c r="C904" t="s">
        <v>22</v>
      </c>
      <c r="D904" t="s">
        <v>23</v>
      </c>
      <c r="E904">
        <v>5677.74</v>
      </c>
      <c r="F904">
        <v>12</v>
      </c>
      <c r="G904" t="s">
        <v>31</v>
      </c>
      <c r="H904">
        <v>2316.13</v>
      </c>
      <c r="I904">
        <v>2525.27</v>
      </c>
      <c r="J904" t="s">
        <v>17</v>
      </c>
      <c r="K904">
        <v>0.12</v>
      </c>
      <c r="L904" t="s">
        <v>28</v>
      </c>
      <c r="M904" t="s">
        <v>21</v>
      </c>
      <c r="N904" t="str">
        <f t="shared" si="70"/>
        <v>South-David</v>
      </c>
      <c r="O904">
        <f t="shared" si="71"/>
        <v>27793.56</v>
      </c>
      <c r="P904">
        <f t="shared" si="72"/>
        <v>30303.239999999998</v>
      </c>
      <c r="Q904">
        <f t="shared" si="73"/>
        <v>2509.6799999999967</v>
      </c>
      <c r="R904">
        <f t="shared" si="74"/>
        <v>8.2818866893441001</v>
      </c>
    </row>
    <row r="905" spans="1:18" x14ac:dyDescent="0.35">
      <c r="A905">
        <v>1095</v>
      </c>
      <c r="B905" s="1">
        <v>45003</v>
      </c>
      <c r="C905" t="s">
        <v>32</v>
      </c>
      <c r="D905" t="s">
        <v>23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25</v>
      </c>
      <c r="M905" t="s">
        <v>21</v>
      </c>
      <c r="N905" t="str">
        <f t="shared" si="70"/>
        <v>South-Eve</v>
      </c>
      <c r="O905">
        <f t="shared" si="71"/>
        <v>57269.979999999996</v>
      </c>
      <c r="P905">
        <f t="shared" si="72"/>
        <v>75636.14</v>
      </c>
      <c r="Q905">
        <f t="shared" si="73"/>
        <v>18366.160000000003</v>
      </c>
      <c r="R905">
        <f t="shared" si="74"/>
        <v>24.282254488396688</v>
      </c>
    </row>
    <row r="906" spans="1:18" x14ac:dyDescent="0.35">
      <c r="A906">
        <v>1075</v>
      </c>
      <c r="B906" s="1">
        <v>45042</v>
      </c>
      <c r="C906" t="s">
        <v>22</v>
      </c>
      <c r="D906" t="s">
        <v>23</v>
      </c>
      <c r="E906">
        <v>1457.77</v>
      </c>
      <c r="F906">
        <v>37</v>
      </c>
      <c r="G906" t="s">
        <v>31</v>
      </c>
      <c r="H906">
        <v>4399.8</v>
      </c>
      <c r="I906">
        <v>4801.0600000000004</v>
      </c>
      <c r="J906" t="s">
        <v>27</v>
      </c>
      <c r="K906">
        <v>0.13</v>
      </c>
      <c r="L906" t="s">
        <v>25</v>
      </c>
      <c r="M906" t="s">
        <v>21</v>
      </c>
      <c r="N906" t="str">
        <f t="shared" si="70"/>
        <v>South-David</v>
      </c>
      <c r="O906">
        <f t="shared" si="71"/>
        <v>162792.6</v>
      </c>
      <c r="P906">
        <f t="shared" si="72"/>
        <v>177639.22</v>
      </c>
      <c r="Q906">
        <f t="shared" si="73"/>
        <v>14846.619999999995</v>
      </c>
      <c r="R906">
        <f t="shared" si="74"/>
        <v>8.3577376662653631</v>
      </c>
    </row>
    <row r="907" spans="1:18" x14ac:dyDescent="0.35">
      <c r="A907">
        <v>1016</v>
      </c>
      <c r="B907" s="1">
        <v>45080</v>
      </c>
      <c r="C907" t="s">
        <v>22</v>
      </c>
      <c r="D907" t="s">
        <v>20</v>
      </c>
      <c r="E907">
        <v>5848.92</v>
      </c>
      <c r="F907">
        <v>46</v>
      </c>
      <c r="G907" t="s">
        <v>26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28</v>
      </c>
      <c r="M907" t="s">
        <v>21</v>
      </c>
      <c r="N907" t="str">
        <f t="shared" si="70"/>
        <v>West-David</v>
      </c>
      <c r="O907">
        <f t="shared" si="71"/>
        <v>47081</v>
      </c>
      <c r="P907">
        <f t="shared" si="72"/>
        <v>53562.86</v>
      </c>
      <c r="Q907">
        <f t="shared" si="73"/>
        <v>6481.8600000000006</v>
      </c>
      <c r="R907">
        <f t="shared" si="74"/>
        <v>12.101407579804366</v>
      </c>
    </row>
    <row r="908" spans="1:18" x14ac:dyDescent="0.35">
      <c r="A908">
        <v>1008</v>
      </c>
      <c r="B908" s="1">
        <v>45029</v>
      </c>
      <c r="C908" t="s">
        <v>29</v>
      </c>
      <c r="D908" t="s">
        <v>23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27</v>
      </c>
      <c r="K908">
        <v>0.14000000000000001</v>
      </c>
      <c r="L908" t="s">
        <v>28</v>
      </c>
      <c r="M908" t="s">
        <v>21</v>
      </c>
      <c r="N908" t="str">
        <f t="shared" si="70"/>
        <v>South-Charlie</v>
      </c>
      <c r="O908">
        <f t="shared" si="71"/>
        <v>113739.12</v>
      </c>
      <c r="P908">
        <f t="shared" si="72"/>
        <v>116854.79999999999</v>
      </c>
      <c r="Q908">
        <f t="shared" si="73"/>
        <v>3115.679999999993</v>
      </c>
      <c r="R908">
        <f t="shared" si="74"/>
        <v>2.6662832848971489</v>
      </c>
    </row>
    <row r="909" spans="1:18" x14ac:dyDescent="0.35">
      <c r="A909">
        <v>1004</v>
      </c>
      <c r="B909" s="1">
        <v>45120</v>
      </c>
      <c r="C909" t="s">
        <v>32</v>
      </c>
      <c r="D909" t="s">
        <v>30</v>
      </c>
      <c r="E909">
        <v>1526.38</v>
      </c>
      <c r="F909">
        <v>16</v>
      </c>
      <c r="G909" t="s">
        <v>26</v>
      </c>
      <c r="H909">
        <v>1067.83</v>
      </c>
      <c r="I909">
        <v>1189.22</v>
      </c>
      <c r="J909" t="s">
        <v>17</v>
      </c>
      <c r="K909">
        <v>0.26</v>
      </c>
      <c r="L909" t="s">
        <v>28</v>
      </c>
      <c r="M909" t="s">
        <v>21</v>
      </c>
      <c r="N909" t="str">
        <f t="shared" si="70"/>
        <v>East-Eve</v>
      </c>
      <c r="O909">
        <f t="shared" si="71"/>
        <v>17085.28</v>
      </c>
      <c r="P909">
        <f t="shared" si="72"/>
        <v>19027.52</v>
      </c>
      <c r="Q909">
        <f t="shared" si="73"/>
        <v>1942.2400000000016</v>
      </c>
      <c r="R909">
        <f t="shared" si="74"/>
        <v>10.20753098669717</v>
      </c>
    </row>
    <row r="910" spans="1:18" x14ac:dyDescent="0.35">
      <c r="A910">
        <v>1004</v>
      </c>
      <c r="B910" s="1">
        <v>45092</v>
      </c>
      <c r="C910" t="s">
        <v>33</v>
      </c>
      <c r="D910" t="s">
        <v>30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27</v>
      </c>
      <c r="K910">
        <v>0.24</v>
      </c>
      <c r="L910" t="s">
        <v>18</v>
      </c>
      <c r="M910" t="s">
        <v>21</v>
      </c>
      <c r="N910" t="str">
        <f t="shared" si="70"/>
        <v>East-Alice</v>
      </c>
      <c r="O910">
        <f t="shared" si="71"/>
        <v>40140.49</v>
      </c>
      <c r="P910">
        <f t="shared" si="72"/>
        <v>42431.48</v>
      </c>
      <c r="Q910">
        <f t="shared" si="73"/>
        <v>2290.9900000000052</v>
      </c>
      <c r="R910">
        <f t="shared" si="74"/>
        <v>5.3992695988921549</v>
      </c>
    </row>
    <row r="911" spans="1:18" x14ac:dyDescent="0.3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26</v>
      </c>
      <c r="H911">
        <v>1154.28</v>
      </c>
      <c r="I911">
        <v>1408.4</v>
      </c>
      <c r="J911" t="s">
        <v>17</v>
      </c>
      <c r="K911">
        <v>0.28999999999999998</v>
      </c>
      <c r="L911" t="s">
        <v>25</v>
      </c>
      <c r="M911" t="s">
        <v>21</v>
      </c>
      <c r="N911" t="str">
        <f t="shared" si="70"/>
        <v>North-Bob</v>
      </c>
      <c r="O911">
        <f t="shared" si="71"/>
        <v>28857</v>
      </c>
      <c r="P911">
        <f t="shared" si="72"/>
        <v>35210</v>
      </c>
      <c r="Q911">
        <f t="shared" si="73"/>
        <v>6353</v>
      </c>
      <c r="R911">
        <f t="shared" si="74"/>
        <v>18.043169554103947</v>
      </c>
    </row>
    <row r="912" spans="1:18" x14ac:dyDescent="0.35">
      <c r="A912">
        <v>1025</v>
      </c>
      <c r="B912" s="1">
        <v>45016</v>
      </c>
      <c r="C912" t="s">
        <v>22</v>
      </c>
      <c r="D912" t="s">
        <v>20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28</v>
      </c>
      <c r="M912" t="s">
        <v>19</v>
      </c>
      <c r="N912" t="str">
        <f t="shared" si="70"/>
        <v>West-David</v>
      </c>
      <c r="O912">
        <f t="shared" si="71"/>
        <v>11004.24</v>
      </c>
      <c r="P912">
        <f t="shared" si="72"/>
        <v>11904.039999999961</v>
      </c>
      <c r="Q912">
        <f t="shared" si="73"/>
        <v>899.79999999996107</v>
      </c>
      <c r="R912">
        <f t="shared" si="74"/>
        <v>7.5587783643197097</v>
      </c>
    </row>
    <row r="913" spans="1:18" x14ac:dyDescent="0.3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27</v>
      </c>
      <c r="K913">
        <v>0.27</v>
      </c>
      <c r="L913" t="s">
        <v>18</v>
      </c>
      <c r="M913" t="s">
        <v>21</v>
      </c>
      <c r="N913" t="str">
        <f t="shared" si="70"/>
        <v>North-Bob</v>
      </c>
      <c r="O913">
        <f t="shared" si="71"/>
        <v>37792.479999999996</v>
      </c>
      <c r="P913">
        <f t="shared" si="72"/>
        <v>39078.929999999891</v>
      </c>
      <c r="Q913">
        <f t="shared" si="73"/>
        <v>1286.4499999998952</v>
      </c>
      <c r="R913">
        <f t="shared" si="74"/>
        <v>3.2919273890045062</v>
      </c>
    </row>
    <row r="914" spans="1:18" x14ac:dyDescent="0.35">
      <c r="A914">
        <v>1096</v>
      </c>
      <c r="B914" s="1">
        <v>45048</v>
      </c>
      <c r="C914" t="s">
        <v>33</v>
      </c>
      <c r="D914" t="s">
        <v>30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25</v>
      </c>
      <c r="M914" t="s">
        <v>21</v>
      </c>
      <c r="N914" t="str">
        <f t="shared" si="70"/>
        <v>East-Alice</v>
      </c>
      <c r="O914">
        <f t="shared" si="71"/>
        <v>31732.16</v>
      </c>
      <c r="P914">
        <f t="shared" si="72"/>
        <v>34097.599999999999</v>
      </c>
      <c r="Q914">
        <f t="shared" si="73"/>
        <v>2365.4399999999987</v>
      </c>
      <c r="R914">
        <f t="shared" si="74"/>
        <v>6.937262446623806</v>
      </c>
    </row>
    <row r="915" spans="1:18" x14ac:dyDescent="0.3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tr">
        <f t="shared" si="70"/>
        <v>North-Bob</v>
      </c>
      <c r="O915">
        <f t="shared" si="71"/>
        <v>128790.62000000001</v>
      </c>
      <c r="P915">
        <f t="shared" si="72"/>
        <v>129582.45999999999</v>
      </c>
      <c r="Q915">
        <f t="shared" si="73"/>
        <v>791.83999999998196</v>
      </c>
      <c r="R915">
        <f t="shared" si="74"/>
        <v>0.61107035628122974</v>
      </c>
    </row>
    <row r="916" spans="1:18" x14ac:dyDescent="0.35">
      <c r="A916">
        <v>1027</v>
      </c>
      <c r="B916" s="1">
        <v>45032</v>
      </c>
      <c r="C916" t="s">
        <v>33</v>
      </c>
      <c r="D916" t="s">
        <v>30</v>
      </c>
      <c r="E916">
        <v>8241.57</v>
      </c>
      <c r="F916">
        <v>7</v>
      </c>
      <c r="G916" t="s">
        <v>24</v>
      </c>
      <c r="H916">
        <v>2371.85</v>
      </c>
      <c r="I916">
        <v>2457.29</v>
      </c>
      <c r="J916" t="s">
        <v>27</v>
      </c>
      <c r="K916">
        <v>0.03</v>
      </c>
      <c r="L916" t="s">
        <v>18</v>
      </c>
      <c r="M916" t="s">
        <v>21</v>
      </c>
      <c r="N916" t="str">
        <f t="shared" si="70"/>
        <v>East-Alice</v>
      </c>
      <c r="O916">
        <f t="shared" si="71"/>
        <v>16602.95</v>
      </c>
      <c r="P916">
        <f t="shared" si="72"/>
        <v>17201.03</v>
      </c>
      <c r="Q916">
        <f t="shared" si="73"/>
        <v>598.07999999999811</v>
      </c>
      <c r="R916">
        <f t="shared" si="74"/>
        <v>3.4770010865628289</v>
      </c>
    </row>
    <row r="917" spans="1:18" x14ac:dyDescent="0.35">
      <c r="A917">
        <v>1093</v>
      </c>
      <c r="B917" s="1">
        <v>45231</v>
      </c>
      <c r="C917" t="s">
        <v>29</v>
      </c>
      <c r="D917" t="s">
        <v>15</v>
      </c>
      <c r="E917">
        <v>664.09</v>
      </c>
      <c r="F917">
        <v>46</v>
      </c>
      <c r="G917" t="s">
        <v>26</v>
      </c>
      <c r="H917">
        <v>401.64</v>
      </c>
      <c r="I917">
        <v>757.26</v>
      </c>
      <c r="J917" t="s">
        <v>27</v>
      </c>
      <c r="K917">
        <v>0.21</v>
      </c>
      <c r="L917" t="s">
        <v>28</v>
      </c>
      <c r="M917" t="s">
        <v>21</v>
      </c>
      <c r="N917" t="str">
        <f t="shared" si="70"/>
        <v>North-Charlie</v>
      </c>
      <c r="O917">
        <f t="shared" si="71"/>
        <v>18475.439999999999</v>
      </c>
      <c r="P917">
        <f t="shared" si="72"/>
        <v>34833.96</v>
      </c>
      <c r="Q917">
        <f t="shared" si="73"/>
        <v>16358.52</v>
      </c>
      <c r="R917">
        <f t="shared" si="74"/>
        <v>46.961413517153957</v>
      </c>
    </row>
    <row r="918" spans="1:18" x14ac:dyDescent="0.35">
      <c r="A918">
        <v>1032</v>
      </c>
      <c r="B918" s="1">
        <v>45286</v>
      </c>
      <c r="C918" t="s">
        <v>22</v>
      </c>
      <c r="D918" t="s">
        <v>23</v>
      </c>
      <c r="E918">
        <v>4244.21</v>
      </c>
      <c r="F918">
        <v>11</v>
      </c>
      <c r="G918" t="s">
        <v>26</v>
      </c>
      <c r="H918">
        <v>4100.62</v>
      </c>
      <c r="I918">
        <v>4230</v>
      </c>
      <c r="J918" t="s">
        <v>27</v>
      </c>
      <c r="K918">
        <v>0.28999999999999998</v>
      </c>
      <c r="L918" t="s">
        <v>25</v>
      </c>
      <c r="M918" t="s">
        <v>19</v>
      </c>
      <c r="N918" t="str">
        <f t="shared" si="70"/>
        <v>South-David</v>
      </c>
      <c r="O918">
        <f t="shared" si="71"/>
        <v>45106.82</v>
      </c>
      <c r="P918">
        <f t="shared" si="72"/>
        <v>46530</v>
      </c>
      <c r="Q918">
        <f t="shared" si="73"/>
        <v>1423.1800000000003</v>
      </c>
      <c r="R918">
        <f t="shared" si="74"/>
        <v>3.0586288416075655</v>
      </c>
    </row>
    <row r="919" spans="1:18" x14ac:dyDescent="0.35">
      <c r="A919">
        <v>1050</v>
      </c>
      <c r="B919" s="1">
        <v>45243</v>
      </c>
      <c r="C919" t="s">
        <v>33</v>
      </c>
      <c r="D919" t="s">
        <v>15</v>
      </c>
      <c r="E919">
        <v>4638.47</v>
      </c>
      <c r="F919">
        <v>28</v>
      </c>
      <c r="G919" t="s">
        <v>24</v>
      </c>
      <c r="H919">
        <v>1711.63</v>
      </c>
      <c r="I919">
        <v>1951.24</v>
      </c>
      <c r="J919" t="s">
        <v>27</v>
      </c>
      <c r="K919">
        <v>0.22</v>
      </c>
      <c r="L919" t="s">
        <v>18</v>
      </c>
      <c r="M919" t="s">
        <v>19</v>
      </c>
      <c r="N919" t="str">
        <f t="shared" si="70"/>
        <v>North-Alice</v>
      </c>
      <c r="O919">
        <f t="shared" si="71"/>
        <v>47925.64</v>
      </c>
      <c r="P919">
        <f t="shared" si="72"/>
        <v>54634.720000000001</v>
      </c>
      <c r="Q919">
        <f t="shared" si="73"/>
        <v>6709.0800000000017</v>
      </c>
      <c r="R919">
        <f t="shared" si="74"/>
        <v>12.27988356122261</v>
      </c>
    </row>
    <row r="920" spans="1:18" x14ac:dyDescent="0.35">
      <c r="A920">
        <v>1061</v>
      </c>
      <c r="B920" s="1">
        <v>45049</v>
      </c>
      <c r="C920" t="s">
        <v>14</v>
      </c>
      <c r="D920" t="s">
        <v>23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27</v>
      </c>
      <c r="K920">
        <v>0.28000000000000003</v>
      </c>
      <c r="L920" t="s">
        <v>25</v>
      </c>
      <c r="M920" t="s">
        <v>21</v>
      </c>
      <c r="N920" t="str">
        <f t="shared" si="70"/>
        <v>South-Bob</v>
      </c>
      <c r="O920">
        <f t="shared" si="71"/>
        <v>118661.37999999999</v>
      </c>
      <c r="P920">
        <f t="shared" si="72"/>
        <v>130950.72</v>
      </c>
      <c r="Q920">
        <f t="shared" si="73"/>
        <v>12289.340000000011</v>
      </c>
      <c r="R920">
        <f t="shared" si="74"/>
        <v>9.3847059412884573</v>
      </c>
    </row>
    <row r="921" spans="1:18" x14ac:dyDescent="0.35">
      <c r="A921">
        <v>1051</v>
      </c>
      <c r="B921" s="1">
        <v>44935</v>
      </c>
      <c r="C921" t="s">
        <v>22</v>
      </c>
      <c r="D921" t="s">
        <v>23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28</v>
      </c>
      <c r="M921" t="s">
        <v>19</v>
      </c>
      <c r="N921" t="str">
        <f t="shared" si="70"/>
        <v>South-David</v>
      </c>
      <c r="O921">
        <f t="shared" si="71"/>
        <v>59758.14</v>
      </c>
      <c r="P921">
        <f t="shared" si="72"/>
        <v>69982.789999999994</v>
      </c>
      <c r="Q921">
        <f t="shared" si="73"/>
        <v>10224.649999999994</v>
      </c>
      <c r="R921">
        <f t="shared" si="74"/>
        <v>14.610234887748824</v>
      </c>
    </row>
    <row r="922" spans="1:18" x14ac:dyDescent="0.35">
      <c r="A922">
        <v>1019</v>
      </c>
      <c r="B922" s="1">
        <v>45188</v>
      </c>
      <c r="C922" t="s">
        <v>29</v>
      </c>
      <c r="D922" t="s">
        <v>20</v>
      </c>
      <c r="E922">
        <v>6705.4</v>
      </c>
      <c r="F922">
        <v>45</v>
      </c>
      <c r="G922" t="s">
        <v>26</v>
      </c>
      <c r="H922">
        <v>2590.64</v>
      </c>
      <c r="I922">
        <v>3036.18</v>
      </c>
      <c r="J922" t="s">
        <v>27</v>
      </c>
      <c r="K922">
        <v>0.05</v>
      </c>
      <c r="L922" t="s">
        <v>25</v>
      </c>
      <c r="M922" t="s">
        <v>21</v>
      </c>
      <c r="N922" t="str">
        <f t="shared" si="70"/>
        <v>West-Charlie</v>
      </c>
      <c r="O922">
        <f t="shared" si="71"/>
        <v>116578.79999999999</v>
      </c>
      <c r="P922">
        <f t="shared" si="72"/>
        <v>136628.1</v>
      </c>
      <c r="Q922">
        <f t="shared" si="73"/>
        <v>20049.300000000017</v>
      </c>
      <c r="R922">
        <f t="shared" si="74"/>
        <v>14.674360545158732</v>
      </c>
    </row>
    <row r="923" spans="1:18" x14ac:dyDescent="0.35">
      <c r="A923">
        <v>1021</v>
      </c>
      <c r="B923" s="1">
        <v>44999</v>
      </c>
      <c r="C923" t="s">
        <v>22</v>
      </c>
      <c r="D923" t="s">
        <v>23</v>
      </c>
      <c r="E923">
        <v>7792.79</v>
      </c>
      <c r="F923">
        <v>23</v>
      </c>
      <c r="G923" t="s">
        <v>24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21</v>
      </c>
      <c r="N923" t="str">
        <f t="shared" si="70"/>
        <v>South-David</v>
      </c>
      <c r="O923">
        <f t="shared" si="71"/>
        <v>13357.25</v>
      </c>
      <c r="P923">
        <f t="shared" si="72"/>
        <v>21991.68</v>
      </c>
      <c r="Q923">
        <f t="shared" si="73"/>
        <v>8634.43</v>
      </c>
      <c r="R923">
        <f t="shared" si="74"/>
        <v>39.262257362784467</v>
      </c>
    </row>
    <row r="924" spans="1:18" x14ac:dyDescent="0.35">
      <c r="A924">
        <v>1005</v>
      </c>
      <c r="B924" s="1">
        <v>45285</v>
      </c>
      <c r="C924" t="s">
        <v>33</v>
      </c>
      <c r="D924" t="s">
        <v>23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21</v>
      </c>
      <c r="N924" t="str">
        <f t="shared" si="70"/>
        <v>South-Alice</v>
      </c>
      <c r="O924">
        <f t="shared" si="71"/>
        <v>60094.719999999994</v>
      </c>
      <c r="P924">
        <f t="shared" si="72"/>
        <v>60857.159999999996</v>
      </c>
      <c r="Q924">
        <f t="shared" si="73"/>
        <v>762.44000000000233</v>
      </c>
      <c r="R924">
        <f t="shared" si="74"/>
        <v>1.2528353278398177</v>
      </c>
    </row>
    <row r="925" spans="1:18" x14ac:dyDescent="0.35">
      <c r="A925">
        <v>1082</v>
      </c>
      <c r="B925" s="1">
        <v>45149</v>
      </c>
      <c r="C925" t="s">
        <v>29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27</v>
      </c>
      <c r="K925">
        <v>0.05</v>
      </c>
      <c r="L925" t="s">
        <v>25</v>
      </c>
      <c r="M925" t="s">
        <v>19</v>
      </c>
      <c r="N925" t="str">
        <f t="shared" si="70"/>
        <v>North-Charlie</v>
      </c>
      <c r="O925">
        <f t="shared" si="71"/>
        <v>98436.459999999992</v>
      </c>
      <c r="P925">
        <f t="shared" si="72"/>
        <v>110983</v>
      </c>
      <c r="Q925">
        <f t="shared" si="73"/>
        <v>12546.540000000008</v>
      </c>
      <c r="R925">
        <f t="shared" si="74"/>
        <v>11.304920573421162</v>
      </c>
    </row>
    <row r="926" spans="1:18" x14ac:dyDescent="0.35">
      <c r="A926">
        <v>1092</v>
      </c>
      <c r="B926" s="1">
        <v>44967</v>
      </c>
      <c r="C926" t="s">
        <v>14</v>
      </c>
      <c r="D926" t="s">
        <v>30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21</v>
      </c>
      <c r="N926" t="str">
        <f t="shared" si="70"/>
        <v>East-Bob</v>
      </c>
      <c r="O926">
        <f t="shared" si="71"/>
        <v>173031.91</v>
      </c>
      <c r="P926">
        <f t="shared" si="72"/>
        <v>191617.12</v>
      </c>
      <c r="Q926">
        <f t="shared" si="73"/>
        <v>18585.209999999992</v>
      </c>
      <c r="R926">
        <f t="shared" si="74"/>
        <v>9.6991385738393276</v>
      </c>
    </row>
    <row r="927" spans="1:18" x14ac:dyDescent="0.35">
      <c r="A927">
        <v>1042</v>
      </c>
      <c r="B927" s="1">
        <v>45130</v>
      </c>
      <c r="C927" t="s">
        <v>29</v>
      </c>
      <c r="D927" t="s">
        <v>20</v>
      </c>
      <c r="E927">
        <v>8417.07</v>
      </c>
      <c r="F927">
        <v>26</v>
      </c>
      <c r="G927" t="s">
        <v>31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21</v>
      </c>
      <c r="N927" t="str">
        <f t="shared" si="70"/>
        <v>West-Charlie</v>
      </c>
      <c r="O927">
        <f t="shared" si="71"/>
        <v>109410.34</v>
      </c>
      <c r="P927">
        <f t="shared" si="72"/>
        <v>109890.56000000001</v>
      </c>
      <c r="Q927">
        <f t="shared" si="73"/>
        <v>480.22000000001572</v>
      </c>
      <c r="R927">
        <f t="shared" si="74"/>
        <v>0.43699841005452666</v>
      </c>
    </row>
    <row r="928" spans="1:18" x14ac:dyDescent="0.35">
      <c r="A928">
        <v>1061</v>
      </c>
      <c r="B928" s="1">
        <v>45190</v>
      </c>
      <c r="C928" t="s">
        <v>29</v>
      </c>
      <c r="D928" t="s">
        <v>23</v>
      </c>
      <c r="E928">
        <v>9895.57</v>
      </c>
      <c r="F928">
        <v>25</v>
      </c>
      <c r="G928" t="s">
        <v>24</v>
      </c>
      <c r="H928">
        <v>2747.66</v>
      </c>
      <c r="I928">
        <v>3027.0099999999902</v>
      </c>
      <c r="J928" t="s">
        <v>27</v>
      </c>
      <c r="K928">
        <v>0.23</v>
      </c>
      <c r="L928" t="s">
        <v>18</v>
      </c>
      <c r="M928" t="s">
        <v>19</v>
      </c>
      <c r="N928" t="str">
        <f t="shared" si="70"/>
        <v>South-Charlie</v>
      </c>
      <c r="O928">
        <f t="shared" si="71"/>
        <v>68691.5</v>
      </c>
      <c r="P928">
        <f t="shared" si="72"/>
        <v>75675.249999999753</v>
      </c>
      <c r="Q928">
        <f t="shared" si="73"/>
        <v>6983.7499999997526</v>
      </c>
      <c r="R928">
        <f t="shared" si="74"/>
        <v>9.2285786964691567</v>
      </c>
    </row>
    <row r="929" spans="1:18" x14ac:dyDescent="0.35">
      <c r="A929">
        <v>1022</v>
      </c>
      <c r="B929" s="1">
        <v>45254</v>
      </c>
      <c r="C929" t="s">
        <v>32</v>
      </c>
      <c r="D929" t="s">
        <v>20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28</v>
      </c>
      <c r="M929" t="s">
        <v>21</v>
      </c>
      <c r="N929" t="str">
        <f t="shared" si="70"/>
        <v>West-Eve</v>
      </c>
      <c r="O929">
        <f t="shared" si="71"/>
        <v>13907.82</v>
      </c>
      <c r="P929">
        <f t="shared" si="72"/>
        <v>26386.52</v>
      </c>
      <c r="Q929">
        <f t="shared" si="73"/>
        <v>12478.7</v>
      </c>
      <c r="R929">
        <f t="shared" si="74"/>
        <v>47.291950586890579</v>
      </c>
    </row>
    <row r="930" spans="1:18" x14ac:dyDescent="0.35">
      <c r="A930">
        <v>1021</v>
      </c>
      <c r="B930" s="1">
        <v>45104</v>
      </c>
      <c r="C930" t="s">
        <v>29</v>
      </c>
      <c r="D930" t="s">
        <v>15</v>
      </c>
      <c r="E930">
        <v>3777.53</v>
      </c>
      <c r="F930">
        <v>19</v>
      </c>
      <c r="G930" t="s">
        <v>31</v>
      </c>
      <c r="H930">
        <v>1222.4000000000001</v>
      </c>
      <c r="I930">
        <v>1464.71</v>
      </c>
      <c r="J930" t="s">
        <v>27</v>
      </c>
      <c r="K930">
        <v>0</v>
      </c>
      <c r="L930" t="s">
        <v>28</v>
      </c>
      <c r="M930" t="s">
        <v>21</v>
      </c>
      <c r="N930" t="str">
        <f t="shared" si="70"/>
        <v>North-Charlie</v>
      </c>
      <c r="O930">
        <f t="shared" si="71"/>
        <v>23225.600000000002</v>
      </c>
      <c r="P930">
        <f t="shared" si="72"/>
        <v>27829.49</v>
      </c>
      <c r="Q930">
        <f t="shared" si="73"/>
        <v>4603.8899999999994</v>
      </c>
      <c r="R930">
        <f t="shared" si="74"/>
        <v>16.543206505041951</v>
      </c>
    </row>
    <row r="931" spans="1:18" x14ac:dyDescent="0.35">
      <c r="A931">
        <v>1070</v>
      </c>
      <c r="B931" s="1">
        <v>45274</v>
      </c>
      <c r="C931" t="s">
        <v>29</v>
      </c>
      <c r="D931" t="s">
        <v>23</v>
      </c>
      <c r="E931">
        <v>2032.15</v>
      </c>
      <c r="F931">
        <v>33</v>
      </c>
      <c r="G931" t="s">
        <v>24</v>
      </c>
      <c r="H931">
        <v>866.42</v>
      </c>
      <c r="I931">
        <v>878.43</v>
      </c>
      <c r="J931" t="s">
        <v>27</v>
      </c>
      <c r="K931">
        <v>0.09</v>
      </c>
      <c r="L931" t="s">
        <v>18</v>
      </c>
      <c r="M931" t="s">
        <v>21</v>
      </c>
      <c r="N931" t="str">
        <f t="shared" si="70"/>
        <v>South-Charlie</v>
      </c>
      <c r="O931">
        <f t="shared" si="71"/>
        <v>28591.859999999997</v>
      </c>
      <c r="P931">
        <f t="shared" si="72"/>
        <v>28988.19</v>
      </c>
      <c r="Q931">
        <f t="shared" si="73"/>
        <v>396.33000000000175</v>
      </c>
      <c r="R931">
        <f t="shared" si="74"/>
        <v>1.3672119576972614</v>
      </c>
    </row>
    <row r="932" spans="1:18" x14ac:dyDescent="0.35">
      <c r="A932">
        <v>1001</v>
      </c>
      <c r="B932" s="1">
        <v>45244</v>
      </c>
      <c r="C932" t="s">
        <v>22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27</v>
      </c>
      <c r="K932">
        <v>0.16</v>
      </c>
      <c r="L932" t="s">
        <v>25</v>
      </c>
      <c r="M932" t="s">
        <v>21</v>
      </c>
      <c r="N932" t="str">
        <f t="shared" si="70"/>
        <v>North-David</v>
      </c>
      <c r="O932">
        <f t="shared" si="71"/>
        <v>24006.240000000002</v>
      </c>
      <c r="P932">
        <f t="shared" si="72"/>
        <v>24560.639999999999</v>
      </c>
      <c r="Q932">
        <f t="shared" si="73"/>
        <v>554.39999999999782</v>
      </c>
      <c r="R932">
        <f t="shared" si="74"/>
        <v>2.2572701688555257</v>
      </c>
    </row>
    <row r="933" spans="1:18" x14ac:dyDescent="0.35">
      <c r="A933">
        <v>1005</v>
      </c>
      <c r="B933" s="1">
        <v>45010</v>
      </c>
      <c r="C933" t="s">
        <v>14</v>
      </c>
      <c r="D933" t="s">
        <v>20</v>
      </c>
      <c r="E933">
        <v>7442.25</v>
      </c>
      <c r="F933">
        <v>14</v>
      </c>
      <c r="G933" t="s">
        <v>26</v>
      </c>
      <c r="H933">
        <v>1861.2</v>
      </c>
      <c r="I933">
        <v>2075.35</v>
      </c>
      <c r="J933" t="s">
        <v>17</v>
      </c>
      <c r="K933">
        <v>0.1</v>
      </c>
      <c r="L933" t="s">
        <v>28</v>
      </c>
      <c r="M933" t="s">
        <v>21</v>
      </c>
      <c r="N933" t="str">
        <f t="shared" si="70"/>
        <v>West-Bob</v>
      </c>
      <c r="O933">
        <f t="shared" si="71"/>
        <v>26056.799999999999</v>
      </c>
      <c r="P933">
        <f t="shared" si="72"/>
        <v>29054.899999999998</v>
      </c>
      <c r="Q933">
        <f t="shared" si="73"/>
        <v>2998.0999999999985</v>
      </c>
      <c r="R933">
        <f t="shared" si="74"/>
        <v>10.318741417110362</v>
      </c>
    </row>
    <row r="934" spans="1:18" x14ac:dyDescent="0.35">
      <c r="A934">
        <v>1012</v>
      </c>
      <c r="B934" s="1">
        <v>45244</v>
      </c>
      <c r="C934" t="s">
        <v>22</v>
      </c>
      <c r="D934" t="s">
        <v>15</v>
      </c>
      <c r="E934">
        <v>4976.43</v>
      </c>
      <c r="F934">
        <v>14</v>
      </c>
      <c r="G934" t="s">
        <v>31</v>
      </c>
      <c r="H934">
        <v>1185.5</v>
      </c>
      <c r="I934">
        <v>1271.45</v>
      </c>
      <c r="J934" t="s">
        <v>17</v>
      </c>
      <c r="K934">
        <v>0.03</v>
      </c>
      <c r="L934" t="s">
        <v>25</v>
      </c>
      <c r="M934" t="s">
        <v>21</v>
      </c>
      <c r="N934" t="str">
        <f t="shared" si="70"/>
        <v>North-David</v>
      </c>
      <c r="O934">
        <f t="shared" si="71"/>
        <v>16597</v>
      </c>
      <c r="P934">
        <f t="shared" si="72"/>
        <v>17800.3</v>
      </c>
      <c r="Q934">
        <f t="shared" si="73"/>
        <v>1203.2999999999993</v>
      </c>
      <c r="R934">
        <f t="shared" si="74"/>
        <v>6.7599984269927997</v>
      </c>
    </row>
    <row r="935" spans="1:18" x14ac:dyDescent="0.35">
      <c r="A935">
        <v>1090</v>
      </c>
      <c r="B935" s="1">
        <v>45037</v>
      </c>
      <c r="C935" t="s">
        <v>22</v>
      </c>
      <c r="D935" t="s">
        <v>20</v>
      </c>
      <c r="E935">
        <v>4883.49</v>
      </c>
      <c r="F935">
        <v>35</v>
      </c>
      <c r="G935" t="s">
        <v>31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tr">
        <f t="shared" si="70"/>
        <v>West-David</v>
      </c>
      <c r="O935">
        <f t="shared" si="71"/>
        <v>39571</v>
      </c>
      <c r="P935">
        <f t="shared" si="72"/>
        <v>51316.299999999654</v>
      </c>
      <c r="Q935">
        <f t="shared" si="73"/>
        <v>11745.299999999654</v>
      </c>
      <c r="R935">
        <f t="shared" si="74"/>
        <v>22.888049216330351</v>
      </c>
    </row>
    <row r="936" spans="1:18" x14ac:dyDescent="0.35">
      <c r="A936">
        <v>1046</v>
      </c>
      <c r="B936" s="1">
        <v>45177</v>
      </c>
      <c r="C936" t="s">
        <v>33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21</v>
      </c>
      <c r="N936" t="str">
        <f t="shared" si="70"/>
        <v>North-Alice</v>
      </c>
      <c r="O936">
        <f t="shared" si="71"/>
        <v>9621.9000000000015</v>
      </c>
      <c r="P936">
        <f t="shared" si="72"/>
        <v>20341.199999999997</v>
      </c>
      <c r="Q936">
        <f t="shared" si="73"/>
        <v>10719.299999999996</v>
      </c>
      <c r="R936">
        <f t="shared" si="74"/>
        <v>52.697480974573764</v>
      </c>
    </row>
    <row r="937" spans="1:18" x14ac:dyDescent="0.35">
      <c r="A937">
        <v>1034</v>
      </c>
      <c r="B937" s="1">
        <v>44933</v>
      </c>
      <c r="C937" t="s">
        <v>22</v>
      </c>
      <c r="D937" t="s">
        <v>20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27</v>
      </c>
      <c r="K937">
        <v>0.27</v>
      </c>
      <c r="L937" t="s">
        <v>25</v>
      </c>
      <c r="M937" t="s">
        <v>21</v>
      </c>
      <c r="N937" t="str">
        <f t="shared" si="70"/>
        <v>West-David</v>
      </c>
      <c r="O937">
        <f t="shared" si="71"/>
        <v>3849.16</v>
      </c>
      <c r="P937">
        <f t="shared" si="72"/>
        <v>6569.6399999999994</v>
      </c>
      <c r="Q937">
        <f t="shared" si="73"/>
        <v>2720.4799999999996</v>
      </c>
      <c r="R937">
        <f t="shared" si="74"/>
        <v>41.409879384562927</v>
      </c>
    </row>
    <row r="938" spans="1:18" x14ac:dyDescent="0.35">
      <c r="A938">
        <v>1049</v>
      </c>
      <c r="B938" s="1">
        <v>45010</v>
      </c>
      <c r="C938" t="s">
        <v>32</v>
      </c>
      <c r="D938" t="s">
        <v>30</v>
      </c>
      <c r="E938">
        <v>8611.9699999999993</v>
      </c>
      <c r="F938">
        <v>17</v>
      </c>
      <c r="G938" t="s">
        <v>31</v>
      </c>
      <c r="H938">
        <v>558.70000000000005</v>
      </c>
      <c r="I938">
        <v>1004.08</v>
      </c>
      <c r="J938" t="s">
        <v>17</v>
      </c>
      <c r="K938">
        <v>0.03</v>
      </c>
      <c r="L938" t="s">
        <v>28</v>
      </c>
      <c r="M938" t="s">
        <v>19</v>
      </c>
      <c r="N938" t="str">
        <f t="shared" si="70"/>
        <v>East-Eve</v>
      </c>
      <c r="O938">
        <f t="shared" si="71"/>
        <v>9497.9000000000015</v>
      </c>
      <c r="P938">
        <f t="shared" si="72"/>
        <v>17069.36</v>
      </c>
      <c r="Q938">
        <f t="shared" si="73"/>
        <v>7571.4599999999991</v>
      </c>
      <c r="R938">
        <f t="shared" si="74"/>
        <v>44.357023344753401</v>
      </c>
    </row>
    <row r="939" spans="1:18" x14ac:dyDescent="0.35">
      <c r="A939">
        <v>1078</v>
      </c>
      <c r="B939" s="1">
        <v>45134</v>
      </c>
      <c r="C939" t="s">
        <v>32</v>
      </c>
      <c r="D939" t="s">
        <v>15</v>
      </c>
      <c r="E939">
        <v>4127.37</v>
      </c>
      <c r="F939">
        <v>3</v>
      </c>
      <c r="G939" t="s">
        <v>26</v>
      </c>
      <c r="H939">
        <v>902.38</v>
      </c>
      <c r="I939">
        <v>1128.9100000000001</v>
      </c>
      <c r="J939" t="s">
        <v>27</v>
      </c>
      <c r="K939">
        <v>0.01</v>
      </c>
      <c r="L939" t="s">
        <v>25</v>
      </c>
      <c r="M939" t="s">
        <v>21</v>
      </c>
      <c r="N939" t="str">
        <f t="shared" si="70"/>
        <v>North-Eve</v>
      </c>
      <c r="O939">
        <f t="shared" si="71"/>
        <v>2707.14</v>
      </c>
      <c r="P939">
        <f t="shared" si="72"/>
        <v>3386.7300000000005</v>
      </c>
      <c r="Q939">
        <f t="shared" si="73"/>
        <v>679.5900000000006</v>
      </c>
      <c r="R939">
        <f t="shared" si="74"/>
        <v>20.066258603431645</v>
      </c>
    </row>
    <row r="940" spans="1:18" x14ac:dyDescent="0.35">
      <c r="A940">
        <v>1090</v>
      </c>
      <c r="B940" s="1">
        <v>45240</v>
      </c>
      <c r="C940" t="s">
        <v>33</v>
      </c>
      <c r="D940" t="s">
        <v>15</v>
      </c>
      <c r="E940">
        <v>3349.51</v>
      </c>
      <c r="F940">
        <v>16</v>
      </c>
      <c r="G940" t="s">
        <v>26</v>
      </c>
      <c r="H940">
        <v>2183.37</v>
      </c>
      <c r="I940">
        <v>2263.3599999999901</v>
      </c>
      <c r="J940" t="s">
        <v>17</v>
      </c>
      <c r="K940">
        <v>0</v>
      </c>
      <c r="L940" t="s">
        <v>25</v>
      </c>
      <c r="M940" t="s">
        <v>21</v>
      </c>
      <c r="N940" t="str">
        <f t="shared" si="70"/>
        <v>North-Alice</v>
      </c>
      <c r="O940">
        <f t="shared" si="71"/>
        <v>34933.919999999998</v>
      </c>
      <c r="P940">
        <f t="shared" si="72"/>
        <v>36213.759999999842</v>
      </c>
      <c r="Q940">
        <f t="shared" si="73"/>
        <v>1279.8399999998437</v>
      </c>
      <c r="R940">
        <f t="shared" si="74"/>
        <v>3.5341262547712504</v>
      </c>
    </row>
    <row r="941" spans="1:18" x14ac:dyDescent="0.35">
      <c r="A941">
        <v>1045</v>
      </c>
      <c r="B941" s="1">
        <v>44948</v>
      </c>
      <c r="C941" t="s">
        <v>14</v>
      </c>
      <c r="D941" t="s">
        <v>30</v>
      </c>
      <c r="E941">
        <v>4594.5</v>
      </c>
      <c r="F941">
        <v>46</v>
      </c>
      <c r="G941" t="s">
        <v>24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tr">
        <f t="shared" si="70"/>
        <v>East-Bob</v>
      </c>
      <c r="O941">
        <f t="shared" si="71"/>
        <v>118545.68</v>
      </c>
      <c r="P941">
        <f t="shared" si="72"/>
        <v>136231.76</v>
      </c>
      <c r="Q941">
        <f t="shared" si="73"/>
        <v>17686.080000000016</v>
      </c>
      <c r="R941">
        <f t="shared" si="74"/>
        <v>12.98234714137145</v>
      </c>
    </row>
    <row r="942" spans="1:18" x14ac:dyDescent="0.35">
      <c r="A942">
        <v>1027</v>
      </c>
      <c r="B942" s="1">
        <v>44929</v>
      </c>
      <c r="C942" t="s">
        <v>14</v>
      </c>
      <c r="D942" t="s">
        <v>30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28</v>
      </c>
      <c r="M942" t="s">
        <v>19</v>
      </c>
      <c r="N942" t="str">
        <f t="shared" si="70"/>
        <v>East-Bob</v>
      </c>
      <c r="O942">
        <f t="shared" si="71"/>
        <v>22377.899999999998</v>
      </c>
      <c r="P942">
        <f t="shared" si="72"/>
        <v>34290.6</v>
      </c>
      <c r="Q942">
        <f t="shared" si="73"/>
        <v>11912.7</v>
      </c>
      <c r="R942">
        <f t="shared" si="74"/>
        <v>34.740424489510247</v>
      </c>
    </row>
    <row r="943" spans="1:18" x14ac:dyDescent="0.35">
      <c r="A943">
        <v>1073</v>
      </c>
      <c r="B943" s="1">
        <v>45053</v>
      </c>
      <c r="C943" t="s">
        <v>22</v>
      </c>
      <c r="D943" t="s">
        <v>15</v>
      </c>
      <c r="E943">
        <v>1347.42</v>
      </c>
      <c r="F943">
        <v>29</v>
      </c>
      <c r="G943" t="s">
        <v>26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25</v>
      </c>
      <c r="M943" t="s">
        <v>19</v>
      </c>
      <c r="N943" t="str">
        <f t="shared" si="70"/>
        <v>North-David</v>
      </c>
      <c r="O943">
        <f t="shared" si="71"/>
        <v>62427.719999999994</v>
      </c>
      <c r="P943">
        <f t="shared" si="72"/>
        <v>71801.97</v>
      </c>
      <c r="Q943">
        <f t="shared" si="73"/>
        <v>9374.2500000000073</v>
      </c>
      <c r="R943">
        <f t="shared" si="74"/>
        <v>13.055700282318169</v>
      </c>
    </row>
    <row r="944" spans="1:18" x14ac:dyDescent="0.35">
      <c r="A944">
        <v>1026</v>
      </c>
      <c r="B944" s="1">
        <v>45223</v>
      </c>
      <c r="C944" t="s">
        <v>22</v>
      </c>
      <c r="D944" t="s">
        <v>30</v>
      </c>
      <c r="E944">
        <v>2044.55</v>
      </c>
      <c r="F944">
        <v>45</v>
      </c>
      <c r="G944" t="s">
        <v>24</v>
      </c>
      <c r="H944">
        <v>1741.66</v>
      </c>
      <c r="I944">
        <v>2169.86</v>
      </c>
      <c r="J944" t="s">
        <v>17</v>
      </c>
      <c r="K944">
        <v>0.14000000000000001</v>
      </c>
      <c r="L944" t="s">
        <v>28</v>
      </c>
      <c r="M944" t="s">
        <v>19</v>
      </c>
      <c r="N944" t="str">
        <f t="shared" si="70"/>
        <v>East-David</v>
      </c>
      <c r="O944">
        <f t="shared" si="71"/>
        <v>78374.7</v>
      </c>
      <c r="P944">
        <f t="shared" si="72"/>
        <v>97643.700000000012</v>
      </c>
      <c r="Q944">
        <f t="shared" si="73"/>
        <v>19269.000000000015</v>
      </c>
      <c r="R944">
        <f t="shared" si="74"/>
        <v>19.73399205478696</v>
      </c>
    </row>
    <row r="945" spans="1:18" x14ac:dyDescent="0.35">
      <c r="A945">
        <v>1047</v>
      </c>
      <c r="B945" s="1">
        <v>45114</v>
      </c>
      <c r="C945" t="s">
        <v>22</v>
      </c>
      <c r="D945" t="s">
        <v>23</v>
      </c>
      <c r="E945">
        <v>9519.2999999999993</v>
      </c>
      <c r="F945">
        <v>15</v>
      </c>
      <c r="G945" t="s">
        <v>26</v>
      </c>
      <c r="H945">
        <v>957.95</v>
      </c>
      <c r="I945">
        <v>1329.26</v>
      </c>
      <c r="J945" t="s">
        <v>27</v>
      </c>
      <c r="K945">
        <v>0.21</v>
      </c>
      <c r="L945" t="s">
        <v>18</v>
      </c>
      <c r="M945" t="s">
        <v>19</v>
      </c>
      <c r="N945" t="str">
        <f t="shared" si="70"/>
        <v>South-David</v>
      </c>
      <c r="O945">
        <f t="shared" si="71"/>
        <v>14369.25</v>
      </c>
      <c r="P945">
        <f t="shared" si="72"/>
        <v>19938.900000000001</v>
      </c>
      <c r="Q945">
        <f t="shared" si="73"/>
        <v>5569.6500000000015</v>
      </c>
      <c r="R945">
        <f t="shared" si="74"/>
        <v>27.93358710861683</v>
      </c>
    </row>
    <row r="946" spans="1:18" x14ac:dyDescent="0.35">
      <c r="A946">
        <v>1086</v>
      </c>
      <c r="B946" s="1">
        <v>45288</v>
      </c>
      <c r="C946" t="s">
        <v>14</v>
      </c>
      <c r="D946" t="s">
        <v>20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28</v>
      </c>
      <c r="M946" t="s">
        <v>19</v>
      </c>
      <c r="N946" t="str">
        <f t="shared" si="70"/>
        <v>West-Bob</v>
      </c>
      <c r="O946">
        <f t="shared" si="71"/>
        <v>3857.56</v>
      </c>
      <c r="P946">
        <f t="shared" si="72"/>
        <v>24202.44</v>
      </c>
      <c r="Q946">
        <f t="shared" si="73"/>
        <v>20344.879999999997</v>
      </c>
      <c r="R946">
        <f t="shared" si="74"/>
        <v>84.061276466339748</v>
      </c>
    </row>
    <row r="947" spans="1:18" x14ac:dyDescent="0.35">
      <c r="A947">
        <v>1056</v>
      </c>
      <c r="B947" s="1">
        <v>44940</v>
      </c>
      <c r="C947" t="s">
        <v>29</v>
      </c>
      <c r="D947" t="s">
        <v>20</v>
      </c>
      <c r="E947">
        <v>5720.5</v>
      </c>
      <c r="F947">
        <v>25</v>
      </c>
      <c r="G947" t="s">
        <v>24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tr">
        <f t="shared" si="70"/>
        <v>West-Charlie</v>
      </c>
      <c r="O947">
        <f t="shared" si="71"/>
        <v>59043.499999999993</v>
      </c>
      <c r="P947">
        <f t="shared" si="72"/>
        <v>64608.75</v>
      </c>
      <c r="Q947">
        <f t="shared" si="73"/>
        <v>5565.2500000000073</v>
      </c>
      <c r="R947">
        <f t="shared" si="74"/>
        <v>8.6137713544992085</v>
      </c>
    </row>
    <row r="948" spans="1:18" x14ac:dyDescent="0.35">
      <c r="A948">
        <v>1094</v>
      </c>
      <c r="B948" s="1">
        <v>44938</v>
      </c>
      <c r="C948" t="s">
        <v>32</v>
      </c>
      <c r="D948" t="s">
        <v>20</v>
      </c>
      <c r="E948">
        <v>5835.21</v>
      </c>
      <c r="F948">
        <v>38</v>
      </c>
      <c r="G948" t="s">
        <v>24</v>
      </c>
      <c r="H948">
        <v>3443.98</v>
      </c>
      <c r="I948">
        <v>3820.3</v>
      </c>
      <c r="J948" t="s">
        <v>17</v>
      </c>
      <c r="K948">
        <v>0.01</v>
      </c>
      <c r="L948" t="s">
        <v>28</v>
      </c>
      <c r="M948" t="s">
        <v>21</v>
      </c>
      <c r="N948" t="str">
        <f t="shared" si="70"/>
        <v>West-Eve</v>
      </c>
      <c r="O948">
        <f t="shared" si="71"/>
        <v>130871.24</v>
      </c>
      <c r="P948">
        <f t="shared" si="72"/>
        <v>145171.4</v>
      </c>
      <c r="Q948">
        <f t="shared" si="73"/>
        <v>14300.159999999989</v>
      </c>
      <c r="R948">
        <f t="shared" si="74"/>
        <v>9.8505352982749965</v>
      </c>
    </row>
    <row r="949" spans="1:18" x14ac:dyDescent="0.35">
      <c r="A949">
        <v>1063</v>
      </c>
      <c r="B949" s="1">
        <v>45013</v>
      </c>
      <c r="C949" t="s">
        <v>29</v>
      </c>
      <c r="D949" t="s">
        <v>23</v>
      </c>
      <c r="E949">
        <v>4947.28</v>
      </c>
      <c r="F949">
        <v>42</v>
      </c>
      <c r="G949" t="s">
        <v>24</v>
      </c>
      <c r="H949">
        <v>1170.07</v>
      </c>
      <c r="I949">
        <v>1669.94999999999</v>
      </c>
      <c r="J949" t="s">
        <v>17</v>
      </c>
      <c r="K949">
        <v>0.12</v>
      </c>
      <c r="L949" t="s">
        <v>25</v>
      </c>
      <c r="M949" t="s">
        <v>21</v>
      </c>
      <c r="N949" t="str">
        <f t="shared" si="70"/>
        <v>South-Charlie</v>
      </c>
      <c r="O949">
        <f t="shared" si="71"/>
        <v>49142.939999999995</v>
      </c>
      <c r="P949">
        <f t="shared" si="72"/>
        <v>70137.899999999587</v>
      </c>
      <c r="Q949">
        <f t="shared" si="73"/>
        <v>20994.959999999592</v>
      </c>
      <c r="R949">
        <f t="shared" si="74"/>
        <v>29.933830354201817</v>
      </c>
    </row>
    <row r="950" spans="1:18" x14ac:dyDescent="0.35">
      <c r="A950">
        <v>1048</v>
      </c>
      <c r="B950" s="1">
        <v>44938</v>
      </c>
      <c r="C950" t="s">
        <v>29</v>
      </c>
      <c r="D950" t="s">
        <v>30</v>
      </c>
      <c r="E950">
        <v>6482.98</v>
      </c>
      <c r="F950">
        <v>47</v>
      </c>
      <c r="G950" t="s">
        <v>26</v>
      </c>
      <c r="H950">
        <v>702.44</v>
      </c>
      <c r="I950">
        <v>1067.6600000000001</v>
      </c>
      <c r="J950" t="s">
        <v>27</v>
      </c>
      <c r="K950">
        <v>0.24</v>
      </c>
      <c r="L950" t="s">
        <v>18</v>
      </c>
      <c r="M950" t="s">
        <v>21</v>
      </c>
      <c r="N950" t="str">
        <f t="shared" si="70"/>
        <v>East-Charlie</v>
      </c>
      <c r="O950">
        <f t="shared" si="71"/>
        <v>33014.68</v>
      </c>
      <c r="P950">
        <f t="shared" si="72"/>
        <v>50180.020000000004</v>
      </c>
      <c r="Q950">
        <f t="shared" si="73"/>
        <v>17165.340000000004</v>
      </c>
      <c r="R950">
        <f t="shared" si="74"/>
        <v>34.207519247700588</v>
      </c>
    </row>
    <row r="951" spans="1:18" x14ac:dyDescent="0.35">
      <c r="A951">
        <v>1061</v>
      </c>
      <c r="B951" s="1">
        <v>44951</v>
      </c>
      <c r="C951" t="s">
        <v>14</v>
      </c>
      <c r="D951" t="s">
        <v>30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25</v>
      </c>
      <c r="M951" t="s">
        <v>19</v>
      </c>
      <c r="N951" t="str">
        <f t="shared" si="70"/>
        <v>East-Bob</v>
      </c>
      <c r="O951">
        <f t="shared" si="71"/>
        <v>168752.68</v>
      </c>
      <c r="P951">
        <f t="shared" si="72"/>
        <v>171258.77999999962</v>
      </c>
      <c r="Q951">
        <f t="shared" si="73"/>
        <v>2506.0999999996275</v>
      </c>
      <c r="R951">
        <f t="shared" si="74"/>
        <v>1.4633410327923817</v>
      </c>
    </row>
    <row r="952" spans="1:18" x14ac:dyDescent="0.35">
      <c r="A952">
        <v>1081</v>
      </c>
      <c r="B952" s="1">
        <v>45227</v>
      </c>
      <c r="C952" t="s">
        <v>29</v>
      </c>
      <c r="D952" t="s">
        <v>15</v>
      </c>
      <c r="E952">
        <v>5571.36</v>
      </c>
      <c r="F952">
        <v>23</v>
      </c>
      <c r="G952" t="s">
        <v>24</v>
      </c>
      <c r="H952">
        <v>1411.37</v>
      </c>
      <c r="I952">
        <v>1675.35</v>
      </c>
      <c r="J952" t="s">
        <v>27</v>
      </c>
      <c r="K952">
        <v>0.21</v>
      </c>
      <c r="L952" t="s">
        <v>18</v>
      </c>
      <c r="M952" t="s">
        <v>21</v>
      </c>
      <c r="N952" t="str">
        <f t="shared" si="70"/>
        <v>North-Charlie</v>
      </c>
      <c r="O952">
        <f t="shared" si="71"/>
        <v>32461.51</v>
      </c>
      <c r="P952">
        <f t="shared" si="72"/>
        <v>38533.049999999996</v>
      </c>
      <c r="Q952">
        <f t="shared" si="73"/>
        <v>6071.5399999999972</v>
      </c>
      <c r="R952">
        <f t="shared" si="74"/>
        <v>15.756707553645501</v>
      </c>
    </row>
    <row r="953" spans="1:18" x14ac:dyDescent="0.35">
      <c r="A953">
        <v>1026</v>
      </c>
      <c r="B953" s="1">
        <v>45169</v>
      </c>
      <c r="C953" t="s">
        <v>33</v>
      </c>
      <c r="D953" t="s">
        <v>30</v>
      </c>
      <c r="E953">
        <v>3784.52</v>
      </c>
      <c r="F953">
        <v>25</v>
      </c>
      <c r="G953" t="s">
        <v>31</v>
      </c>
      <c r="H953">
        <v>1156.8800000000001</v>
      </c>
      <c r="I953">
        <v>1454.68</v>
      </c>
      <c r="J953" t="s">
        <v>17</v>
      </c>
      <c r="K953">
        <v>0.06</v>
      </c>
      <c r="L953" t="s">
        <v>28</v>
      </c>
      <c r="M953" t="s">
        <v>19</v>
      </c>
      <c r="N953" t="str">
        <f t="shared" si="70"/>
        <v>East-Alice</v>
      </c>
      <c r="O953">
        <f t="shared" si="71"/>
        <v>28922.000000000004</v>
      </c>
      <c r="P953">
        <f t="shared" si="72"/>
        <v>36367</v>
      </c>
      <c r="Q953">
        <f t="shared" si="73"/>
        <v>7444.9999999999964</v>
      </c>
      <c r="R953">
        <f t="shared" si="74"/>
        <v>20.471856353287311</v>
      </c>
    </row>
    <row r="954" spans="1:18" x14ac:dyDescent="0.35">
      <c r="A954">
        <v>1036</v>
      </c>
      <c r="B954" s="1">
        <v>45048</v>
      </c>
      <c r="C954" t="s">
        <v>22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27</v>
      </c>
      <c r="K954">
        <v>7.0000000000000007E-2</v>
      </c>
      <c r="L954" t="s">
        <v>28</v>
      </c>
      <c r="M954" t="s">
        <v>21</v>
      </c>
      <c r="N954" t="str">
        <f t="shared" si="70"/>
        <v>North-David</v>
      </c>
      <c r="O954">
        <f t="shared" si="71"/>
        <v>180290.46</v>
      </c>
      <c r="P954">
        <f t="shared" si="72"/>
        <v>184295.58</v>
      </c>
      <c r="Q954">
        <f t="shared" si="73"/>
        <v>4005.1199999999953</v>
      </c>
      <c r="R954">
        <f t="shared" si="74"/>
        <v>2.1732045879776365</v>
      </c>
    </row>
    <row r="955" spans="1:18" x14ac:dyDescent="0.35">
      <c r="A955">
        <v>1001</v>
      </c>
      <c r="B955" s="1">
        <v>45073</v>
      </c>
      <c r="C955" t="s">
        <v>33</v>
      </c>
      <c r="D955" t="s">
        <v>23</v>
      </c>
      <c r="E955">
        <v>1498.11</v>
      </c>
      <c r="F955">
        <v>7</v>
      </c>
      <c r="G955" t="s">
        <v>31</v>
      </c>
      <c r="H955">
        <v>4094.68</v>
      </c>
      <c r="I955">
        <v>4576.5</v>
      </c>
      <c r="J955" t="s">
        <v>27</v>
      </c>
      <c r="K955">
        <v>0.3</v>
      </c>
      <c r="L955" t="s">
        <v>18</v>
      </c>
      <c r="M955" t="s">
        <v>21</v>
      </c>
      <c r="N955" t="str">
        <f t="shared" si="70"/>
        <v>South-Alice</v>
      </c>
      <c r="O955">
        <f t="shared" si="71"/>
        <v>28662.76</v>
      </c>
      <c r="P955">
        <f t="shared" si="72"/>
        <v>32035.5</v>
      </c>
      <c r="Q955">
        <f t="shared" si="73"/>
        <v>3372.7400000000016</v>
      </c>
      <c r="R955">
        <f t="shared" si="74"/>
        <v>10.528132852616634</v>
      </c>
    </row>
    <row r="956" spans="1:18" x14ac:dyDescent="0.35">
      <c r="A956">
        <v>1008</v>
      </c>
      <c r="B956" s="1">
        <v>44981</v>
      </c>
      <c r="C956" t="s">
        <v>32</v>
      </c>
      <c r="D956" t="s">
        <v>20</v>
      </c>
      <c r="E956">
        <v>5751.69</v>
      </c>
      <c r="F956">
        <v>22</v>
      </c>
      <c r="G956" t="s">
        <v>31</v>
      </c>
      <c r="H956">
        <v>2269.3200000000002</v>
      </c>
      <c r="I956">
        <v>2365.35</v>
      </c>
      <c r="J956" t="s">
        <v>27</v>
      </c>
      <c r="K956">
        <v>0.03</v>
      </c>
      <c r="L956" t="s">
        <v>18</v>
      </c>
      <c r="M956" t="s">
        <v>21</v>
      </c>
      <c r="N956" t="str">
        <f t="shared" si="70"/>
        <v>West-Eve</v>
      </c>
      <c r="O956">
        <f t="shared" si="71"/>
        <v>49925.04</v>
      </c>
      <c r="P956">
        <f t="shared" si="72"/>
        <v>52037.7</v>
      </c>
      <c r="Q956">
        <f t="shared" si="73"/>
        <v>2112.6599999999962</v>
      </c>
      <c r="R956">
        <f t="shared" si="74"/>
        <v>4.0598642906969307</v>
      </c>
    </row>
    <row r="957" spans="1:18" x14ac:dyDescent="0.35">
      <c r="A957">
        <v>1099</v>
      </c>
      <c r="B957" s="1">
        <v>45164</v>
      </c>
      <c r="C957" t="s">
        <v>22</v>
      </c>
      <c r="D957" t="s">
        <v>20</v>
      </c>
      <c r="E957">
        <v>1934.18</v>
      </c>
      <c r="F957">
        <v>17</v>
      </c>
      <c r="G957" t="s">
        <v>24</v>
      </c>
      <c r="H957">
        <v>2471.73</v>
      </c>
      <c r="I957">
        <v>2568.73</v>
      </c>
      <c r="J957" t="s">
        <v>27</v>
      </c>
      <c r="K957">
        <v>0.05</v>
      </c>
      <c r="L957" t="s">
        <v>18</v>
      </c>
      <c r="M957" t="s">
        <v>21</v>
      </c>
      <c r="N957" t="str">
        <f t="shared" si="70"/>
        <v>West-David</v>
      </c>
      <c r="O957">
        <f t="shared" si="71"/>
        <v>42019.41</v>
      </c>
      <c r="P957">
        <f t="shared" si="72"/>
        <v>43668.41</v>
      </c>
      <c r="Q957">
        <f t="shared" si="73"/>
        <v>1649</v>
      </c>
      <c r="R957">
        <f t="shared" si="74"/>
        <v>3.7761851187162527</v>
      </c>
    </row>
    <row r="958" spans="1:18" x14ac:dyDescent="0.35">
      <c r="A958">
        <v>1052</v>
      </c>
      <c r="B958" s="1">
        <v>45282</v>
      </c>
      <c r="C958" t="s">
        <v>29</v>
      </c>
      <c r="D958" t="s">
        <v>20</v>
      </c>
      <c r="E958">
        <v>2858.57</v>
      </c>
      <c r="F958">
        <v>18</v>
      </c>
      <c r="G958" t="s">
        <v>24</v>
      </c>
      <c r="H958">
        <v>1127.8599999999999</v>
      </c>
      <c r="I958">
        <v>1586.29</v>
      </c>
      <c r="J958" t="s">
        <v>27</v>
      </c>
      <c r="K958">
        <v>0.04</v>
      </c>
      <c r="L958" t="s">
        <v>28</v>
      </c>
      <c r="M958" t="s">
        <v>19</v>
      </c>
      <c r="N958" t="str">
        <f t="shared" si="70"/>
        <v>West-Charlie</v>
      </c>
      <c r="O958">
        <f t="shared" si="71"/>
        <v>20301.48</v>
      </c>
      <c r="P958">
        <f t="shared" si="72"/>
        <v>28553.22</v>
      </c>
      <c r="Q958">
        <f t="shared" si="73"/>
        <v>8251.7400000000016</v>
      </c>
      <c r="R958">
        <f t="shared" si="74"/>
        <v>28.899507656229318</v>
      </c>
    </row>
    <row r="959" spans="1:18" x14ac:dyDescent="0.35">
      <c r="A959">
        <v>1079</v>
      </c>
      <c r="B959" s="1">
        <v>45099</v>
      </c>
      <c r="C959" t="s">
        <v>32</v>
      </c>
      <c r="D959" t="s">
        <v>30</v>
      </c>
      <c r="E959">
        <v>2265.23</v>
      </c>
      <c r="F959">
        <v>49</v>
      </c>
      <c r="G959" t="s">
        <v>26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tr">
        <f t="shared" si="70"/>
        <v>East-Eve</v>
      </c>
      <c r="O959">
        <f t="shared" si="71"/>
        <v>21441.91</v>
      </c>
      <c r="P959">
        <f t="shared" si="72"/>
        <v>33101.46</v>
      </c>
      <c r="Q959">
        <f t="shared" si="73"/>
        <v>11659.55</v>
      </c>
      <c r="R959">
        <f t="shared" si="74"/>
        <v>35.223672913521028</v>
      </c>
    </row>
    <row r="960" spans="1:18" x14ac:dyDescent="0.35">
      <c r="A960">
        <v>1047</v>
      </c>
      <c r="B960" s="1">
        <v>45147</v>
      </c>
      <c r="C960" t="s">
        <v>22</v>
      </c>
      <c r="D960" t="s">
        <v>15</v>
      </c>
      <c r="E960">
        <v>1910.09</v>
      </c>
      <c r="F960">
        <v>41</v>
      </c>
      <c r="G960" t="s">
        <v>26</v>
      </c>
      <c r="H960">
        <v>2888.49</v>
      </c>
      <c r="I960">
        <v>2929.45</v>
      </c>
      <c r="J960" t="s">
        <v>27</v>
      </c>
      <c r="K960">
        <v>0.06</v>
      </c>
      <c r="L960" t="s">
        <v>18</v>
      </c>
      <c r="M960" t="s">
        <v>21</v>
      </c>
      <c r="N960" t="str">
        <f t="shared" si="70"/>
        <v>North-David</v>
      </c>
      <c r="O960">
        <f t="shared" si="71"/>
        <v>118428.09</v>
      </c>
      <c r="P960">
        <f t="shared" si="72"/>
        <v>120107.45</v>
      </c>
      <c r="Q960">
        <f t="shared" si="73"/>
        <v>1679.3600000000006</v>
      </c>
      <c r="R960">
        <f t="shared" si="74"/>
        <v>1.3982146819368828</v>
      </c>
    </row>
    <row r="961" spans="1:18" x14ac:dyDescent="0.35">
      <c r="A961">
        <v>1056</v>
      </c>
      <c r="B961" s="1">
        <v>45045</v>
      </c>
      <c r="C961" t="s">
        <v>29</v>
      </c>
      <c r="D961" t="s">
        <v>15</v>
      </c>
      <c r="E961">
        <v>8274.5400000000009</v>
      </c>
      <c r="F961">
        <v>10</v>
      </c>
      <c r="G961" t="s">
        <v>26</v>
      </c>
      <c r="H961">
        <v>536.80999999999995</v>
      </c>
      <c r="I961">
        <v>839.92</v>
      </c>
      <c r="J961" t="s">
        <v>17</v>
      </c>
      <c r="K961">
        <v>0.15</v>
      </c>
      <c r="L961" t="s">
        <v>25</v>
      </c>
      <c r="M961" t="s">
        <v>19</v>
      </c>
      <c r="N961" t="str">
        <f t="shared" si="70"/>
        <v>North-Charlie</v>
      </c>
      <c r="O961">
        <f t="shared" si="71"/>
        <v>5368.0999999999995</v>
      </c>
      <c r="P961">
        <f t="shared" si="72"/>
        <v>8399.1999999999989</v>
      </c>
      <c r="Q961">
        <f t="shared" si="73"/>
        <v>3031.0999999999995</v>
      </c>
      <c r="R961">
        <f t="shared" si="74"/>
        <v>36.087960758167441</v>
      </c>
    </row>
    <row r="962" spans="1:18" x14ac:dyDescent="0.35">
      <c r="A962">
        <v>1086</v>
      </c>
      <c r="B962" s="1">
        <v>45235</v>
      </c>
      <c r="C962" t="s">
        <v>33</v>
      </c>
      <c r="D962" t="s">
        <v>23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27</v>
      </c>
      <c r="K962">
        <v>0.14000000000000001</v>
      </c>
      <c r="L962" t="s">
        <v>18</v>
      </c>
      <c r="M962" t="s">
        <v>19</v>
      </c>
      <c r="N962" t="str">
        <f t="shared" si="70"/>
        <v>South-Alice</v>
      </c>
      <c r="O962">
        <f t="shared" si="71"/>
        <v>22739.1</v>
      </c>
      <c r="P962">
        <f t="shared" si="72"/>
        <v>25787.999999999902</v>
      </c>
      <c r="Q962">
        <f t="shared" si="73"/>
        <v>3048.8999999999032</v>
      </c>
      <c r="R962">
        <f t="shared" si="74"/>
        <v>11.822940902745133</v>
      </c>
    </row>
    <row r="963" spans="1:18" x14ac:dyDescent="0.35">
      <c r="A963">
        <v>1014</v>
      </c>
      <c r="B963" s="1">
        <v>45109</v>
      </c>
      <c r="C963" t="s">
        <v>22</v>
      </c>
      <c r="D963" t="s">
        <v>30</v>
      </c>
      <c r="E963">
        <v>9278.5300000000007</v>
      </c>
      <c r="F963">
        <v>7</v>
      </c>
      <c r="G963" t="s">
        <v>26</v>
      </c>
      <c r="H963">
        <v>4705.46</v>
      </c>
      <c r="I963">
        <v>4747.07</v>
      </c>
      <c r="J963" t="s">
        <v>27</v>
      </c>
      <c r="K963">
        <v>0.27</v>
      </c>
      <c r="L963" t="s">
        <v>25</v>
      </c>
      <c r="M963" t="s">
        <v>21</v>
      </c>
      <c r="N963" t="str">
        <f t="shared" ref="N963:N1001" si="75">D963 &amp; "-" &amp; C963</f>
        <v>East-David</v>
      </c>
      <c r="O963">
        <f t="shared" ref="O963:O1001" si="76">F963*H963</f>
        <v>32938.22</v>
      </c>
      <c r="P963">
        <f t="shared" ref="P963:P1001" si="77">F963*I963</f>
        <v>33229.49</v>
      </c>
      <c r="Q963">
        <f t="shared" ref="Q963:Q1001" si="78">P963-O963</f>
        <v>291.2699999999968</v>
      </c>
      <c r="R963">
        <f t="shared" ref="R963:R1001" si="79">(Q963/P963)*100</f>
        <v>0.87654068720283351</v>
      </c>
    </row>
    <row r="964" spans="1:18" x14ac:dyDescent="0.35">
      <c r="A964">
        <v>1090</v>
      </c>
      <c r="B964" s="1">
        <v>45214</v>
      </c>
      <c r="C964" t="s">
        <v>29</v>
      </c>
      <c r="D964" t="s">
        <v>23</v>
      </c>
      <c r="E964">
        <v>9702.27</v>
      </c>
      <c r="F964">
        <v>48</v>
      </c>
      <c r="G964" t="s">
        <v>31</v>
      </c>
      <c r="H964">
        <v>4766.53</v>
      </c>
      <c r="I964">
        <v>5253.07</v>
      </c>
      <c r="J964" t="s">
        <v>17</v>
      </c>
      <c r="K964">
        <v>0.01</v>
      </c>
      <c r="L964" t="s">
        <v>25</v>
      </c>
      <c r="M964" t="s">
        <v>19</v>
      </c>
      <c r="N964" t="str">
        <f t="shared" si="75"/>
        <v>South-Charlie</v>
      </c>
      <c r="O964">
        <f t="shared" si="76"/>
        <v>228793.44</v>
      </c>
      <c r="P964">
        <f t="shared" si="77"/>
        <v>252147.36</v>
      </c>
      <c r="Q964">
        <f t="shared" si="78"/>
        <v>23353.919999999984</v>
      </c>
      <c r="R964">
        <f t="shared" si="79"/>
        <v>9.2620124993575121</v>
      </c>
    </row>
    <row r="965" spans="1:18" x14ac:dyDescent="0.35">
      <c r="A965">
        <v>1028</v>
      </c>
      <c r="B965" s="1">
        <v>45233</v>
      </c>
      <c r="C965" t="s">
        <v>33</v>
      </c>
      <c r="D965" t="s">
        <v>15</v>
      </c>
      <c r="E965">
        <v>5755.48</v>
      </c>
      <c r="F965">
        <v>38</v>
      </c>
      <c r="G965" t="s">
        <v>26</v>
      </c>
      <c r="H965">
        <v>1234.69</v>
      </c>
      <c r="I965">
        <v>1511.26</v>
      </c>
      <c r="J965" t="s">
        <v>27</v>
      </c>
      <c r="K965">
        <v>0.1</v>
      </c>
      <c r="L965" t="s">
        <v>25</v>
      </c>
      <c r="M965" t="s">
        <v>19</v>
      </c>
      <c r="N965" t="str">
        <f t="shared" si="75"/>
        <v>North-Alice</v>
      </c>
      <c r="O965">
        <f t="shared" si="76"/>
        <v>46918.22</v>
      </c>
      <c r="P965">
        <f t="shared" si="77"/>
        <v>57427.88</v>
      </c>
      <c r="Q965">
        <f t="shared" si="78"/>
        <v>10509.659999999996</v>
      </c>
      <c r="R965">
        <f t="shared" si="79"/>
        <v>18.30062332093749</v>
      </c>
    </row>
    <row r="966" spans="1:18" x14ac:dyDescent="0.35">
      <c r="A966">
        <v>1087</v>
      </c>
      <c r="B966" s="1">
        <v>45226</v>
      </c>
      <c r="C966" t="s">
        <v>32</v>
      </c>
      <c r="D966" t="s">
        <v>15</v>
      </c>
      <c r="E966">
        <v>1515.71</v>
      </c>
      <c r="F966">
        <v>27</v>
      </c>
      <c r="G966" t="s">
        <v>24</v>
      </c>
      <c r="H966">
        <v>3139.36</v>
      </c>
      <c r="I966">
        <v>3423.66</v>
      </c>
      <c r="J966" t="s">
        <v>27</v>
      </c>
      <c r="K966">
        <v>0.18</v>
      </c>
      <c r="L966" t="s">
        <v>28</v>
      </c>
      <c r="M966" t="s">
        <v>19</v>
      </c>
      <c r="N966" t="str">
        <f t="shared" si="75"/>
        <v>North-Eve</v>
      </c>
      <c r="O966">
        <f t="shared" si="76"/>
        <v>84762.72</v>
      </c>
      <c r="P966">
        <f t="shared" si="77"/>
        <v>92438.819999999992</v>
      </c>
      <c r="Q966">
        <f t="shared" si="78"/>
        <v>7676.0999999999913</v>
      </c>
      <c r="R966">
        <f t="shared" si="79"/>
        <v>8.3039787829398861</v>
      </c>
    </row>
    <row r="967" spans="1:18" x14ac:dyDescent="0.35">
      <c r="A967">
        <v>1078</v>
      </c>
      <c r="B967" s="1">
        <v>45008</v>
      </c>
      <c r="C967" t="s">
        <v>32</v>
      </c>
      <c r="D967" t="s">
        <v>20</v>
      </c>
      <c r="E967">
        <v>3808.03</v>
      </c>
      <c r="F967">
        <v>33</v>
      </c>
      <c r="G967" t="s">
        <v>26</v>
      </c>
      <c r="H967">
        <v>2396.6799999999998</v>
      </c>
      <c r="I967">
        <v>2661.54</v>
      </c>
      <c r="J967" t="s">
        <v>27</v>
      </c>
      <c r="K967">
        <v>0.18</v>
      </c>
      <c r="L967" t="s">
        <v>25</v>
      </c>
      <c r="M967" t="s">
        <v>19</v>
      </c>
      <c r="N967" t="str">
        <f t="shared" si="75"/>
        <v>West-Eve</v>
      </c>
      <c r="O967">
        <f t="shared" si="76"/>
        <v>79090.439999999988</v>
      </c>
      <c r="P967">
        <f t="shared" si="77"/>
        <v>87830.819999999992</v>
      </c>
      <c r="Q967">
        <f t="shared" si="78"/>
        <v>8740.3800000000047</v>
      </c>
      <c r="R967">
        <f t="shared" si="79"/>
        <v>9.9513815309933396</v>
      </c>
    </row>
    <row r="968" spans="1:18" x14ac:dyDescent="0.35">
      <c r="A968">
        <v>1088</v>
      </c>
      <c r="B968" s="1">
        <v>45137</v>
      </c>
      <c r="C968" t="s">
        <v>32</v>
      </c>
      <c r="D968" t="s">
        <v>30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27</v>
      </c>
      <c r="K968">
        <v>0.14000000000000001</v>
      </c>
      <c r="L968" t="s">
        <v>18</v>
      </c>
      <c r="M968" t="s">
        <v>21</v>
      </c>
      <c r="N968" t="str">
        <f t="shared" si="75"/>
        <v>East-Eve</v>
      </c>
      <c r="O968">
        <f t="shared" si="76"/>
        <v>4384.6400000000003</v>
      </c>
      <c r="P968">
        <f t="shared" si="77"/>
        <v>4693.8999999999996</v>
      </c>
      <c r="Q968">
        <f t="shared" si="78"/>
        <v>309.25999999999931</v>
      </c>
      <c r="R968">
        <f t="shared" si="79"/>
        <v>6.5885510982338635</v>
      </c>
    </row>
    <row r="969" spans="1:18" x14ac:dyDescent="0.35">
      <c r="A969">
        <v>1002</v>
      </c>
      <c r="B969" s="1">
        <v>45076</v>
      </c>
      <c r="C969" t="s">
        <v>32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28</v>
      </c>
      <c r="M969" t="s">
        <v>21</v>
      </c>
      <c r="N969" t="str">
        <f t="shared" si="75"/>
        <v>North-Eve</v>
      </c>
      <c r="O969">
        <f t="shared" si="76"/>
        <v>61317.52</v>
      </c>
      <c r="P969">
        <f t="shared" si="77"/>
        <v>67455.959999999992</v>
      </c>
      <c r="Q969">
        <f t="shared" si="78"/>
        <v>6138.4399999999951</v>
      </c>
      <c r="R969">
        <f t="shared" si="79"/>
        <v>9.0999223789862231</v>
      </c>
    </row>
    <row r="970" spans="1:18" x14ac:dyDescent="0.35">
      <c r="A970">
        <v>1026</v>
      </c>
      <c r="B970" s="1">
        <v>44963</v>
      </c>
      <c r="C970" t="s">
        <v>14</v>
      </c>
      <c r="D970" t="s">
        <v>20</v>
      </c>
      <c r="E970">
        <v>961.47</v>
      </c>
      <c r="F970">
        <v>34</v>
      </c>
      <c r="G970" t="s">
        <v>31</v>
      </c>
      <c r="H970">
        <v>68.33</v>
      </c>
      <c r="I970">
        <v>219.07999999999899</v>
      </c>
      <c r="J970" t="s">
        <v>27</v>
      </c>
      <c r="K970">
        <v>0.02</v>
      </c>
      <c r="L970" t="s">
        <v>28</v>
      </c>
      <c r="M970" t="s">
        <v>19</v>
      </c>
      <c r="N970" t="str">
        <f t="shared" si="75"/>
        <v>West-Bob</v>
      </c>
      <c r="O970">
        <f t="shared" si="76"/>
        <v>2323.2199999999998</v>
      </c>
      <c r="P970">
        <f t="shared" si="77"/>
        <v>7448.7199999999657</v>
      </c>
      <c r="Q970">
        <f t="shared" si="78"/>
        <v>5125.4999999999654</v>
      </c>
      <c r="R970">
        <f t="shared" si="79"/>
        <v>68.810480189884828</v>
      </c>
    </row>
    <row r="971" spans="1:18" x14ac:dyDescent="0.35">
      <c r="A971">
        <v>1014</v>
      </c>
      <c r="B971" s="1">
        <v>45278</v>
      </c>
      <c r="C971" t="s">
        <v>22</v>
      </c>
      <c r="D971" t="s">
        <v>30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27</v>
      </c>
      <c r="K971">
        <v>0.24</v>
      </c>
      <c r="L971" t="s">
        <v>28</v>
      </c>
      <c r="M971" t="s">
        <v>21</v>
      </c>
      <c r="N971" t="str">
        <f t="shared" si="75"/>
        <v>East-David</v>
      </c>
      <c r="O971">
        <f t="shared" si="76"/>
        <v>3418.72</v>
      </c>
      <c r="P971">
        <f t="shared" si="77"/>
        <v>4460.96</v>
      </c>
      <c r="Q971">
        <f t="shared" si="78"/>
        <v>1042.2400000000002</v>
      </c>
      <c r="R971">
        <f t="shared" si="79"/>
        <v>23.363580933252042</v>
      </c>
    </row>
    <row r="972" spans="1:18" x14ac:dyDescent="0.35">
      <c r="A972">
        <v>1059</v>
      </c>
      <c r="B972" s="1">
        <v>45238</v>
      </c>
      <c r="C972" t="s">
        <v>22</v>
      </c>
      <c r="D972" t="s">
        <v>23</v>
      </c>
      <c r="E972">
        <v>8466.7000000000007</v>
      </c>
      <c r="F972">
        <v>17</v>
      </c>
      <c r="G972" t="s">
        <v>26</v>
      </c>
      <c r="H972">
        <v>1780.14</v>
      </c>
      <c r="I972">
        <v>2185.42</v>
      </c>
      <c r="J972" t="s">
        <v>17</v>
      </c>
      <c r="K972">
        <v>0.15</v>
      </c>
      <c r="L972" t="s">
        <v>28</v>
      </c>
      <c r="M972" t="s">
        <v>21</v>
      </c>
      <c r="N972" t="str">
        <f t="shared" si="75"/>
        <v>South-David</v>
      </c>
      <c r="O972">
        <f t="shared" si="76"/>
        <v>30262.38</v>
      </c>
      <c r="P972">
        <f t="shared" si="77"/>
        <v>37152.14</v>
      </c>
      <c r="Q972">
        <f t="shared" si="78"/>
        <v>6889.7599999999984</v>
      </c>
      <c r="R972">
        <f t="shared" si="79"/>
        <v>18.54471909289747</v>
      </c>
    </row>
    <row r="973" spans="1:18" x14ac:dyDescent="0.35">
      <c r="A973">
        <v>1056</v>
      </c>
      <c r="B973" s="1">
        <v>45287</v>
      </c>
      <c r="C973" t="s">
        <v>14</v>
      </c>
      <c r="D973" t="s">
        <v>30</v>
      </c>
      <c r="E973">
        <v>7979.67</v>
      </c>
      <c r="F973">
        <v>4</v>
      </c>
      <c r="G973" t="s">
        <v>24</v>
      </c>
      <c r="H973">
        <v>1612.82</v>
      </c>
      <c r="I973">
        <v>1647.25</v>
      </c>
      <c r="J973" t="s">
        <v>17</v>
      </c>
      <c r="K973">
        <v>0.04</v>
      </c>
      <c r="L973" t="s">
        <v>28</v>
      </c>
      <c r="M973" t="s">
        <v>21</v>
      </c>
      <c r="N973" t="str">
        <f t="shared" si="75"/>
        <v>East-Bob</v>
      </c>
      <c r="O973">
        <f t="shared" si="76"/>
        <v>6451.28</v>
      </c>
      <c r="P973">
        <f t="shared" si="77"/>
        <v>6589</v>
      </c>
      <c r="Q973">
        <f t="shared" si="78"/>
        <v>137.72000000000025</v>
      </c>
      <c r="R973">
        <f t="shared" si="79"/>
        <v>2.0901502504173659</v>
      </c>
    </row>
    <row r="974" spans="1:18" x14ac:dyDescent="0.35">
      <c r="A974">
        <v>1007</v>
      </c>
      <c r="B974" s="1">
        <v>44985</v>
      </c>
      <c r="C974" t="s">
        <v>29</v>
      </c>
      <c r="D974" t="s">
        <v>30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27</v>
      </c>
      <c r="K974">
        <v>0.27</v>
      </c>
      <c r="L974" t="s">
        <v>28</v>
      </c>
      <c r="M974" t="s">
        <v>19</v>
      </c>
      <c r="N974" t="str">
        <f t="shared" si="75"/>
        <v>East-Charlie</v>
      </c>
      <c r="O974">
        <f t="shared" si="76"/>
        <v>170591.75</v>
      </c>
      <c r="P974">
        <f t="shared" si="77"/>
        <v>183735.56</v>
      </c>
      <c r="Q974">
        <f t="shared" si="78"/>
        <v>13143.809999999998</v>
      </c>
      <c r="R974">
        <f t="shared" si="79"/>
        <v>7.1536560478548612</v>
      </c>
    </row>
    <row r="975" spans="1:18" x14ac:dyDescent="0.35">
      <c r="A975">
        <v>1003</v>
      </c>
      <c r="B975" s="1">
        <v>45057</v>
      </c>
      <c r="C975" t="s">
        <v>29</v>
      </c>
      <c r="D975" t="s">
        <v>15</v>
      </c>
      <c r="E975">
        <v>6760.37</v>
      </c>
      <c r="F975">
        <v>26</v>
      </c>
      <c r="G975" t="s">
        <v>31</v>
      </c>
      <c r="H975">
        <v>3418.78</v>
      </c>
      <c r="I975">
        <v>3824.1</v>
      </c>
      <c r="J975" t="s">
        <v>27</v>
      </c>
      <c r="K975">
        <v>0.19</v>
      </c>
      <c r="L975" t="s">
        <v>28</v>
      </c>
      <c r="M975" t="s">
        <v>19</v>
      </c>
      <c r="N975" t="str">
        <f t="shared" si="75"/>
        <v>North-Charlie</v>
      </c>
      <c r="O975">
        <f t="shared" si="76"/>
        <v>88888.28</v>
      </c>
      <c r="P975">
        <f t="shared" si="77"/>
        <v>99426.599999999991</v>
      </c>
      <c r="Q975">
        <f t="shared" si="78"/>
        <v>10538.319999999992</v>
      </c>
      <c r="R975">
        <f t="shared" si="79"/>
        <v>10.599095211945288</v>
      </c>
    </row>
    <row r="976" spans="1:18" x14ac:dyDescent="0.35">
      <c r="A976">
        <v>1023</v>
      </c>
      <c r="B976" s="1">
        <v>45128</v>
      </c>
      <c r="C976" t="s">
        <v>32</v>
      </c>
      <c r="D976" t="s">
        <v>15</v>
      </c>
      <c r="E976">
        <v>2282.9899999999998</v>
      </c>
      <c r="F976">
        <v>4</v>
      </c>
      <c r="G976" t="s">
        <v>26</v>
      </c>
      <c r="H976">
        <v>1532.8</v>
      </c>
      <c r="I976">
        <v>1619.69</v>
      </c>
      <c r="J976" t="s">
        <v>17</v>
      </c>
      <c r="K976">
        <v>0.05</v>
      </c>
      <c r="L976" t="s">
        <v>25</v>
      </c>
      <c r="M976" t="s">
        <v>21</v>
      </c>
      <c r="N976" t="str">
        <f t="shared" si="75"/>
        <v>North-Eve</v>
      </c>
      <c r="O976">
        <f t="shared" si="76"/>
        <v>6131.2</v>
      </c>
      <c r="P976">
        <f t="shared" si="77"/>
        <v>6478.76</v>
      </c>
      <c r="Q976">
        <f t="shared" si="78"/>
        <v>347.5600000000004</v>
      </c>
      <c r="R976">
        <f t="shared" si="79"/>
        <v>5.3646068074755107</v>
      </c>
    </row>
    <row r="977" spans="1:18" x14ac:dyDescent="0.35">
      <c r="A977">
        <v>1018</v>
      </c>
      <c r="B977" s="1">
        <v>45169</v>
      </c>
      <c r="C977" t="s">
        <v>33</v>
      </c>
      <c r="D977" t="s">
        <v>30</v>
      </c>
      <c r="E977">
        <v>2260.25</v>
      </c>
      <c r="F977">
        <v>1</v>
      </c>
      <c r="G977" t="s">
        <v>31</v>
      </c>
      <c r="H977">
        <v>2315.83</v>
      </c>
      <c r="I977">
        <v>2333.19</v>
      </c>
      <c r="J977" t="s">
        <v>27</v>
      </c>
      <c r="K977">
        <v>0.01</v>
      </c>
      <c r="L977" t="s">
        <v>18</v>
      </c>
      <c r="M977" t="s">
        <v>21</v>
      </c>
      <c r="N977" t="str">
        <f t="shared" si="75"/>
        <v>East-Alice</v>
      </c>
      <c r="O977">
        <f t="shared" si="76"/>
        <v>2315.83</v>
      </c>
      <c r="P977">
        <f t="shared" si="77"/>
        <v>2333.19</v>
      </c>
      <c r="Q977">
        <f t="shared" si="78"/>
        <v>17.360000000000127</v>
      </c>
      <c r="R977">
        <f t="shared" si="79"/>
        <v>0.74404570566478201</v>
      </c>
    </row>
    <row r="978" spans="1:18" x14ac:dyDescent="0.35">
      <c r="A978">
        <v>1038</v>
      </c>
      <c r="B978" s="1">
        <v>44961</v>
      </c>
      <c r="C978" t="s">
        <v>29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tr">
        <f t="shared" si="75"/>
        <v>North-Charlie</v>
      </c>
      <c r="O978">
        <f t="shared" si="76"/>
        <v>3661.14</v>
      </c>
      <c r="P978">
        <f t="shared" si="77"/>
        <v>4803.75</v>
      </c>
      <c r="Q978">
        <f t="shared" si="78"/>
        <v>1142.6100000000001</v>
      </c>
      <c r="R978">
        <f t="shared" si="79"/>
        <v>23.78579234972678</v>
      </c>
    </row>
    <row r="979" spans="1:18" x14ac:dyDescent="0.35">
      <c r="A979">
        <v>1099</v>
      </c>
      <c r="B979" s="1">
        <v>45019</v>
      </c>
      <c r="C979" t="s">
        <v>33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27</v>
      </c>
      <c r="K979">
        <v>0.18</v>
      </c>
      <c r="L979" t="s">
        <v>25</v>
      </c>
      <c r="M979" t="s">
        <v>21</v>
      </c>
      <c r="N979" t="str">
        <f t="shared" si="75"/>
        <v>North-Alice</v>
      </c>
      <c r="O979">
        <f t="shared" si="76"/>
        <v>134874.59999999998</v>
      </c>
      <c r="P979">
        <f t="shared" si="77"/>
        <v>143820.2999999997</v>
      </c>
      <c r="Q979">
        <f t="shared" si="78"/>
        <v>8945.6999999997206</v>
      </c>
      <c r="R979">
        <f t="shared" si="79"/>
        <v>6.2200537754404204</v>
      </c>
    </row>
    <row r="980" spans="1:18" x14ac:dyDescent="0.35">
      <c r="A980">
        <v>1015</v>
      </c>
      <c r="B980" s="1">
        <v>45133</v>
      </c>
      <c r="C980" t="s">
        <v>22</v>
      </c>
      <c r="D980" t="s">
        <v>15</v>
      </c>
      <c r="E980">
        <v>2706.15</v>
      </c>
      <c r="F980">
        <v>9</v>
      </c>
      <c r="G980" t="s">
        <v>31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25</v>
      </c>
      <c r="M980" t="s">
        <v>19</v>
      </c>
      <c r="N980" t="str">
        <f t="shared" si="75"/>
        <v>North-David</v>
      </c>
      <c r="O980">
        <f t="shared" si="76"/>
        <v>42123.15</v>
      </c>
      <c r="P980">
        <f t="shared" si="77"/>
        <v>42822.99</v>
      </c>
      <c r="Q980">
        <f t="shared" si="78"/>
        <v>699.83999999999651</v>
      </c>
      <c r="R980">
        <f t="shared" si="79"/>
        <v>1.6342623436616559</v>
      </c>
    </row>
    <row r="981" spans="1:18" x14ac:dyDescent="0.35">
      <c r="A981">
        <v>1064</v>
      </c>
      <c r="B981" s="1">
        <v>45279</v>
      </c>
      <c r="C981" t="s">
        <v>33</v>
      </c>
      <c r="D981" t="s">
        <v>20</v>
      </c>
      <c r="E981">
        <v>106.47</v>
      </c>
      <c r="F981">
        <v>35</v>
      </c>
      <c r="G981" t="s">
        <v>26</v>
      </c>
      <c r="H981">
        <v>4900.03</v>
      </c>
      <c r="I981">
        <v>5118.83</v>
      </c>
      <c r="J981" t="s">
        <v>17</v>
      </c>
      <c r="K981">
        <v>7.0000000000000007E-2</v>
      </c>
      <c r="L981" t="s">
        <v>28</v>
      </c>
      <c r="M981" t="s">
        <v>21</v>
      </c>
      <c r="N981" t="str">
        <f t="shared" si="75"/>
        <v>West-Alice</v>
      </c>
      <c r="O981">
        <f t="shared" si="76"/>
        <v>171501.05</v>
      </c>
      <c r="P981">
        <f t="shared" si="77"/>
        <v>179159.05</v>
      </c>
      <c r="Q981">
        <f t="shared" si="78"/>
        <v>7658</v>
      </c>
      <c r="R981">
        <f t="shared" si="79"/>
        <v>4.2744142704485206</v>
      </c>
    </row>
    <row r="982" spans="1:18" x14ac:dyDescent="0.35">
      <c r="A982">
        <v>1089</v>
      </c>
      <c r="B982" s="1">
        <v>45258</v>
      </c>
      <c r="C982" t="s">
        <v>22</v>
      </c>
      <c r="D982" t="s">
        <v>20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28</v>
      </c>
      <c r="M982" t="s">
        <v>19</v>
      </c>
      <c r="N982" t="str">
        <f t="shared" si="75"/>
        <v>West-David</v>
      </c>
      <c r="O982">
        <f t="shared" si="76"/>
        <v>34794.720000000001</v>
      </c>
      <c r="P982">
        <f t="shared" si="77"/>
        <v>37039.839999999997</v>
      </c>
      <c r="Q982">
        <f t="shared" si="78"/>
        <v>2245.1199999999953</v>
      </c>
      <c r="R982">
        <f t="shared" si="79"/>
        <v>6.0613652758759091</v>
      </c>
    </row>
    <row r="983" spans="1:18" x14ac:dyDescent="0.35">
      <c r="A983">
        <v>1028</v>
      </c>
      <c r="B983" s="1">
        <v>45231</v>
      </c>
      <c r="C983" t="s">
        <v>14</v>
      </c>
      <c r="D983" t="s">
        <v>30</v>
      </c>
      <c r="E983">
        <v>7946.69</v>
      </c>
      <c r="F983">
        <v>24</v>
      </c>
      <c r="G983" t="s">
        <v>24</v>
      </c>
      <c r="H983">
        <v>911.11</v>
      </c>
      <c r="I983">
        <v>1214.56</v>
      </c>
      <c r="J983" t="s">
        <v>27</v>
      </c>
      <c r="K983">
        <v>0.22</v>
      </c>
      <c r="L983" t="s">
        <v>25</v>
      </c>
      <c r="M983" t="s">
        <v>19</v>
      </c>
      <c r="N983" t="str">
        <f t="shared" si="75"/>
        <v>East-Bob</v>
      </c>
      <c r="O983">
        <f t="shared" si="76"/>
        <v>21866.639999999999</v>
      </c>
      <c r="P983">
        <f t="shared" si="77"/>
        <v>29149.439999999999</v>
      </c>
      <c r="Q983">
        <f t="shared" si="78"/>
        <v>7282.7999999999993</v>
      </c>
      <c r="R983">
        <f t="shared" si="79"/>
        <v>24.984356474772756</v>
      </c>
    </row>
    <row r="984" spans="1:18" x14ac:dyDescent="0.3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27</v>
      </c>
      <c r="K984">
        <v>0.24</v>
      </c>
      <c r="L984" t="s">
        <v>28</v>
      </c>
      <c r="M984" t="s">
        <v>19</v>
      </c>
      <c r="N984" t="str">
        <f t="shared" si="75"/>
        <v>North-Bob</v>
      </c>
      <c r="O984">
        <f t="shared" si="76"/>
        <v>5294.7300000000005</v>
      </c>
      <c r="P984">
        <f t="shared" si="77"/>
        <v>8039.47</v>
      </c>
      <c r="Q984">
        <f t="shared" si="78"/>
        <v>2744.74</v>
      </c>
      <c r="R984">
        <f t="shared" si="79"/>
        <v>34.140807789568214</v>
      </c>
    </row>
    <row r="985" spans="1:18" x14ac:dyDescent="0.35">
      <c r="A985">
        <v>1039</v>
      </c>
      <c r="B985" s="1">
        <v>45139</v>
      </c>
      <c r="C985" t="s">
        <v>32</v>
      </c>
      <c r="D985" t="s">
        <v>20</v>
      </c>
      <c r="E985">
        <v>7527.63</v>
      </c>
      <c r="F985">
        <v>36</v>
      </c>
      <c r="G985" t="s">
        <v>26</v>
      </c>
      <c r="H985">
        <v>2919</v>
      </c>
      <c r="I985">
        <v>3125.01</v>
      </c>
      <c r="J985" t="s">
        <v>27</v>
      </c>
      <c r="K985">
        <v>0.24</v>
      </c>
      <c r="L985" t="s">
        <v>18</v>
      </c>
      <c r="M985" t="s">
        <v>19</v>
      </c>
      <c r="N985" t="str">
        <f t="shared" si="75"/>
        <v>West-Eve</v>
      </c>
      <c r="O985">
        <f t="shared" si="76"/>
        <v>105084</v>
      </c>
      <c r="P985">
        <f t="shared" si="77"/>
        <v>112500.36000000002</v>
      </c>
      <c r="Q985">
        <f t="shared" si="78"/>
        <v>7416.3600000000151</v>
      </c>
      <c r="R985">
        <f t="shared" si="79"/>
        <v>6.5922989046435179</v>
      </c>
    </row>
    <row r="986" spans="1:18" x14ac:dyDescent="0.35">
      <c r="A986">
        <v>1057</v>
      </c>
      <c r="B986" s="1">
        <v>45085</v>
      </c>
      <c r="C986" t="s">
        <v>29</v>
      </c>
      <c r="D986" t="s">
        <v>30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27</v>
      </c>
      <c r="K986">
        <v>0.04</v>
      </c>
      <c r="L986" t="s">
        <v>18</v>
      </c>
      <c r="M986" t="s">
        <v>21</v>
      </c>
      <c r="N986" t="str">
        <f t="shared" si="75"/>
        <v>East-Charlie</v>
      </c>
      <c r="O986">
        <f t="shared" si="76"/>
        <v>196397.77000000002</v>
      </c>
      <c r="P986">
        <f t="shared" si="77"/>
        <v>213227.53999999998</v>
      </c>
      <c r="Q986">
        <f t="shared" si="78"/>
        <v>16829.76999999996</v>
      </c>
      <c r="R986">
        <f t="shared" si="79"/>
        <v>7.8928688104735256</v>
      </c>
    </row>
    <row r="987" spans="1:18" x14ac:dyDescent="0.35">
      <c r="A987">
        <v>1017</v>
      </c>
      <c r="B987" s="1">
        <v>44950</v>
      </c>
      <c r="C987" t="s">
        <v>32</v>
      </c>
      <c r="D987" t="s">
        <v>15</v>
      </c>
      <c r="E987">
        <v>4637.3999999999996</v>
      </c>
      <c r="F987">
        <v>27</v>
      </c>
      <c r="G987" t="s">
        <v>31</v>
      </c>
      <c r="H987">
        <v>927.89</v>
      </c>
      <c r="I987">
        <v>1399.09</v>
      </c>
      <c r="J987" t="s">
        <v>17</v>
      </c>
      <c r="K987">
        <v>0.27</v>
      </c>
      <c r="L987" t="s">
        <v>28</v>
      </c>
      <c r="M987" t="s">
        <v>19</v>
      </c>
      <c r="N987" t="str">
        <f t="shared" si="75"/>
        <v>North-Eve</v>
      </c>
      <c r="O987">
        <f t="shared" si="76"/>
        <v>25053.03</v>
      </c>
      <c r="P987">
        <f t="shared" si="77"/>
        <v>37775.43</v>
      </c>
      <c r="Q987">
        <f t="shared" si="78"/>
        <v>12722.400000000001</v>
      </c>
      <c r="R987">
        <f t="shared" si="79"/>
        <v>33.679034229391966</v>
      </c>
    </row>
    <row r="988" spans="1:18" x14ac:dyDescent="0.35">
      <c r="A988">
        <v>1086</v>
      </c>
      <c r="B988" s="1">
        <v>45219</v>
      </c>
      <c r="C988" t="s">
        <v>22</v>
      </c>
      <c r="D988" t="s">
        <v>23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28</v>
      </c>
      <c r="M988" t="s">
        <v>21</v>
      </c>
      <c r="N988" t="str">
        <f t="shared" si="75"/>
        <v>South-David</v>
      </c>
      <c r="O988">
        <f t="shared" si="76"/>
        <v>2715.52</v>
      </c>
      <c r="P988">
        <f t="shared" si="77"/>
        <v>16549.759999999998</v>
      </c>
      <c r="Q988">
        <f t="shared" si="78"/>
        <v>13834.239999999998</v>
      </c>
      <c r="R988">
        <f t="shared" si="79"/>
        <v>83.591786225298733</v>
      </c>
    </row>
    <row r="989" spans="1:18" x14ac:dyDescent="0.35">
      <c r="A989">
        <v>1090</v>
      </c>
      <c r="B989" s="1">
        <v>44930</v>
      </c>
      <c r="C989" t="s">
        <v>32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28</v>
      </c>
      <c r="M989" t="s">
        <v>19</v>
      </c>
      <c r="N989" t="str">
        <f t="shared" si="75"/>
        <v>North-Eve</v>
      </c>
      <c r="O989">
        <f t="shared" si="76"/>
        <v>56520.94</v>
      </c>
      <c r="P989">
        <f t="shared" si="77"/>
        <v>60531.94</v>
      </c>
      <c r="Q989">
        <f t="shared" si="78"/>
        <v>4011</v>
      </c>
      <c r="R989">
        <f t="shared" si="79"/>
        <v>6.626253842186455</v>
      </c>
    </row>
    <row r="990" spans="1:18" x14ac:dyDescent="0.35">
      <c r="A990">
        <v>1044</v>
      </c>
      <c r="B990" s="1">
        <v>45146</v>
      </c>
      <c r="C990" t="s">
        <v>33</v>
      </c>
      <c r="D990" t="s">
        <v>15</v>
      </c>
      <c r="E990">
        <v>4912.6899999999996</v>
      </c>
      <c r="F990">
        <v>18</v>
      </c>
      <c r="G990" t="s">
        <v>26</v>
      </c>
      <c r="H990">
        <v>430.14</v>
      </c>
      <c r="I990">
        <v>641.17999999999995</v>
      </c>
      <c r="J990" t="s">
        <v>27</v>
      </c>
      <c r="K990">
        <v>0.13</v>
      </c>
      <c r="L990" t="s">
        <v>18</v>
      </c>
      <c r="M990" t="s">
        <v>19</v>
      </c>
      <c r="N990" t="str">
        <f t="shared" si="75"/>
        <v>North-Alice</v>
      </c>
      <c r="O990">
        <f t="shared" si="76"/>
        <v>7742.5199999999995</v>
      </c>
      <c r="P990">
        <f t="shared" si="77"/>
        <v>11541.24</v>
      </c>
      <c r="Q990">
        <f t="shared" si="78"/>
        <v>3798.7200000000003</v>
      </c>
      <c r="R990">
        <f t="shared" si="79"/>
        <v>32.914314233132664</v>
      </c>
    </row>
    <row r="991" spans="1:18" x14ac:dyDescent="0.35">
      <c r="A991">
        <v>1025</v>
      </c>
      <c r="B991" s="1">
        <v>45290</v>
      </c>
      <c r="C991" t="s">
        <v>22</v>
      </c>
      <c r="D991" t="s">
        <v>20</v>
      </c>
      <c r="E991">
        <v>9215.32</v>
      </c>
      <c r="F991">
        <v>28</v>
      </c>
      <c r="G991" t="s">
        <v>31</v>
      </c>
      <c r="H991">
        <v>2097.84</v>
      </c>
      <c r="I991">
        <v>2270.9899999999998</v>
      </c>
      <c r="J991" t="s">
        <v>27</v>
      </c>
      <c r="K991">
        <v>0.13</v>
      </c>
      <c r="L991" t="s">
        <v>28</v>
      </c>
      <c r="M991" t="s">
        <v>21</v>
      </c>
      <c r="N991" t="str">
        <f t="shared" si="75"/>
        <v>West-David</v>
      </c>
      <c r="O991">
        <f t="shared" si="76"/>
        <v>58739.520000000004</v>
      </c>
      <c r="P991">
        <f t="shared" si="77"/>
        <v>63587.719999999994</v>
      </c>
      <c r="Q991">
        <f t="shared" si="78"/>
        <v>4848.1999999999898</v>
      </c>
      <c r="R991">
        <f t="shared" si="79"/>
        <v>7.6244281128494462</v>
      </c>
    </row>
    <row r="992" spans="1:18" x14ac:dyDescent="0.35">
      <c r="A992">
        <v>1017</v>
      </c>
      <c r="B992" s="1">
        <v>44946</v>
      </c>
      <c r="C992" t="s">
        <v>14</v>
      </c>
      <c r="D992" t="s">
        <v>30</v>
      </c>
      <c r="E992">
        <v>496.59</v>
      </c>
      <c r="F992">
        <v>29</v>
      </c>
      <c r="G992" t="s">
        <v>26</v>
      </c>
      <c r="H992">
        <v>3410.49</v>
      </c>
      <c r="I992">
        <v>3481.72</v>
      </c>
      <c r="J992" t="s">
        <v>27</v>
      </c>
      <c r="K992">
        <v>0.24</v>
      </c>
      <c r="L992" t="s">
        <v>25</v>
      </c>
      <c r="M992" t="s">
        <v>21</v>
      </c>
      <c r="N992" t="str">
        <f t="shared" si="75"/>
        <v>East-Bob</v>
      </c>
      <c r="O992">
        <f t="shared" si="76"/>
        <v>98904.209999999992</v>
      </c>
      <c r="P992">
        <f t="shared" si="77"/>
        <v>100969.87999999999</v>
      </c>
      <c r="Q992">
        <f t="shared" si="78"/>
        <v>2065.6699999999983</v>
      </c>
      <c r="R992">
        <f t="shared" si="79"/>
        <v>2.0458279241294517</v>
      </c>
    </row>
    <row r="993" spans="1:18" x14ac:dyDescent="0.35">
      <c r="A993">
        <v>1013</v>
      </c>
      <c r="B993" s="1">
        <v>45078</v>
      </c>
      <c r="C993" t="s">
        <v>29</v>
      </c>
      <c r="D993" t="s">
        <v>30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28</v>
      </c>
      <c r="M993" t="s">
        <v>21</v>
      </c>
      <c r="N993" t="str">
        <f t="shared" si="75"/>
        <v>East-Charlie</v>
      </c>
      <c r="O993">
        <f t="shared" si="76"/>
        <v>19554.400000000001</v>
      </c>
      <c r="P993">
        <f t="shared" si="77"/>
        <v>20549.759999999998</v>
      </c>
      <c r="Q993">
        <f t="shared" si="78"/>
        <v>995.35999999999694</v>
      </c>
      <c r="R993">
        <f t="shared" si="79"/>
        <v>4.8436575414992538</v>
      </c>
    </row>
    <row r="994" spans="1:18" x14ac:dyDescent="0.35">
      <c r="A994">
        <v>1084</v>
      </c>
      <c r="B994" s="1">
        <v>44976</v>
      </c>
      <c r="C994" t="s">
        <v>22</v>
      </c>
      <c r="D994" t="s">
        <v>20</v>
      </c>
      <c r="E994">
        <v>2154.66</v>
      </c>
      <c r="F994">
        <v>35</v>
      </c>
      <c r="G994" t="s">
        <v>24</v>
      </c>
      <c r="H994">
        <v>465.61</v>
      </c>
      <c r="I994">
        <v>812.91</v>
      </c>
      <c r="J994" t="s">
        <v>27</v>
      </c>
      <c r="K994">
        <v>0.16</v>
      </c>
      <c r="L994" t="s">
        <v>25</v>
      </c>
      <c r="M994" t="s">
        <v>19</v>
      </c>
      <c r="N994" t="str">
        <f t="shared" si="75"/>
        <v>West-David</v>
      </c>
      <c r="O994">
        <f t="shared" si="76"/>
        <v>16296.35</v>
      </c>
      <c r="P994">
        <f t="shared" si="77"/>
        <v>28451.85</v>
      </c>
      <c r="Q994">
        <f t="shared" si="78"/>
        <v>12155.499999999998</v>
      </c>
      <c r="R994">
        <f t="shared" si="79"/>
        <v>42.723056672940416</v>
      </c>
    </row>
    <row r="995" spans="1:18" x14ac:dyDescent="0.35">
      <c r="A995">
        <v>1025</v>
      </c>
      <c r="B995" s="1">
        <v>45103</v>
      </c>
      <c r="C995" t="s">
        <v>22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27</v>
      </c>
      <c r="K995">
        <v>0.25</v>
      </c>
      <c r="L995" t="s">
        <v>28</v>
      </c>
      <c r="M995" t="s">
        <v>19</v>
      </c>
      <c r="N995" t="str">
        <f t="shared" si="75"/>
        <v>North-David</v>
      </c>
      <c r="O995">
        <f t="shared" si="76"/>
        <v>181495.67</v>
      </c>
      <c r="P995">
        <f t="shared" si="77"/>
        <v>187948.77</v>
      </c>
      <c r="Q995">
        <f t="shared" si="78"/>
        <v>6453.0999999999767</v>
      </c>
      <c r="R995">
        <f t="shared" si="79"/>
        <v>3.4334356112040409</v>
      </c>
    </row>
    <row r="996" spans="1:18" x14ac:dyDescent="0.35">
      <c r="A996">
        <v>1068</v>
      </c>
      <c r="B996" s="1">
        <v>45022</v>
      </c>
      <c r="C996" t="s">
        <v>33</v>
      </c>
      <c r="D996" t="s">
        <v>23</v>
      </c>
      <c r="E996">
        <v>9093.5</v>
      </c>
      <c r="F996">
        <v>31</v>
      </c>
      <c r="G996" t="s">
        <v>26</v>
      </c>
      <c r="H996">
        <v>3169.37</v>
      </c>
      <c r="I996">
        <v>3304.15</v>
      </c>
      <c r="J996" t="s">
        <v>17</v>
      </c>
      <c r="K996">
        <v>0.25</v>
      </c>
      <c r="L996" t="s">
        <v>28</v>
      </c>
      <c r="M996" t="s">
        <v>21</v>
      </c>
      <c r="N996" t="str">
        <f t="shared" si="75"/>
        <v>South-Alice</v>
      </c>
      <c r="O996">
        <f t="shared" si="76"/>
        <v>98250.47</v>
      </c>
      <c r="P996">
        <f t="shared" si="77"/>
        <v>102428.65000000001</v>
      </c>
      <c r="Q996">
        <f t="shared" si="78"/>
        <v>4178.1800000000076</v>
      </c>
      <c r="R996">
        <f t="shared" si="79"/>
        <v>4.0791126310851578</v>
      </c>
    </row>
    <row r="997" spans="1:18" x14ac:dyDescent="0.35">
      <c r="A997">
        <v>1010</v>
      </c>
      <c r="B997" s="1">
        <v>45031</v>
      </c>
      <c r="C997" t="s">
        <v>29</v>
      </c>
      <c r="D997" t="s">
        <v>15</v>
      </c>
      <c r="E997">
        <v>4733.88</v>
      </c>
      <c r="F997">
        <v>4</v>
      </c>
      <c r="G997" t="s">
        <v>24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tr">
        <f t="shared" si="75"/>
        <v>North-Charlie</v>
      </c>
      <c r="O997">
        <f t="shared" si="76"/>
        <v>19772.12</v>
      </c>
      <c r="P997">
        <f t="shared" si="77"/>
        <v>21768.6</v>
      </c>
      <c r="Q997">
        <f t="shared" si="78"/>
        <v>1996.4799999999996</v>
      </c>
      <c r="R997">
        <f t="shared" si="79"/>
        <v>9.1713752836654621</v>
      </c>
    </row>
    <row r="998" spans="1:18" x14ac:dyDescent="0.3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26</v>
      </c>
      <c r="H998">
        <v>1754.32</v>
      </c>
      <c r="I998">
        <v>1856.3999999999901</v>
      </c>
      <c r="J998" t="s">
        <v>27</v>
      </c>
      <c r="K998">
        <v>0.21</v>
      </c>
      <c r="L998" t="s">
        <v>25</v>
      </c>
      <c r="M998" t="s">
        <v>21</v>
      </c>
      <c r="N998" t="str">
        <f t="shared" si="75"/>
        <v>North-Bob</v>
      </c>
      <c r="O998">
        <f t="shared" si="76"/>
        <v>64909.84</v>
      </c>
      <c r="P998">
        <f t="shared" si="77"/>
        <v>68686.799999999639</v>
      </c>
      <c r="Q998">
        <f t="shared" si="78"/>
        <v>3776.9599999996426</v>
      </c>
      <c r="R998">
        <f t="shared" si="79"/>
        <v>5.4988149105791253</v>
      </c>
    </row>
    <row r="999" spans="1:18" x14ac:dyDescent="0.35">
      <c r="A999">
        <v>1018</v>
      </c>
      <c r="B999" s="1">
        <v>45043</v>
      </c>
      <c r="C999" t="s">
        <v>22</v>
      </c>
      <c r="D999" t="s">
        <v>23</v>
      </c>
      <c r="E999">
        <v>7629.7</v>
      </c>
      <c r="F999">
        <v>17</v>
      </c>
      <c r="G999" t="s">
        <v>26</v>
      </c>
      <c r="H999">
        <v>355.72</v>
      </c>
      <c r="I999">
        <v>438.27</v>
      </c>
      <c r="J999" t="s">
        <v>17</v>
      </c>
      <c r="K999">
        <v>0.06</v>
      </c>
      <c r="L999" t="s">
        <v>25</v>
      </c>
      <c r="M999" t="s">
        <v>19</v>
      </c>
      <c r="N999" t="str">
        <f t="shared" si="75"/>
        <v>South-David</v>
      </c>
      <c r="O999">
        <f t="shared" si="76"/>
        <v>6047.2400000000007</v>
      </c>
      <c r="P999">
        <f t="shared" si="77"/>
        <v>7450.59</v>
      </c>
      <c r="Q999">
        <f t="shared" si="78"/>
        <v>1403.3499999999995</v>
      </c>
      <c r="R999">
        <f t="shared" si="79"/>
        <v>18.835421087457497</v>
      </c>
    </row>
    <row r="1000" spans="1:18" x14ac:dyDescent="0.35">
      <c r="A1000">
        <v>1100</v>
      </c>
      <c r="B1000" s="1">
        <v>45280</v>
      </c>
      <c r="C1000" t="s">
        <v>22</v>
      </c>
      <c r="D1000" t="s">
        <v>20</v>
      </c>
      <c r="E1000">
        <v>1629.47</v>
      </c>
      <c r="F1000">
        <v>39</v>
      </c>
      <c r="G1000" t="s">
        <v>31</v>
      </c>
      <c r="H1000">
        <v>3685.03</v>
      </c>
      <c r="I1000">
        <v>3743.39</v>
      </c>
      <c r="J1000" t="s">
        <v>27</v>
      </c>
      <c r="K1000">
        <v>0.01</v>
      </c>
      <c r="L1000" t="s">
        <v>25</v>
      </c>
      <c r="M1000" t="s">
        <v>19</v>
      </c>
      <c r="N1000" t="str">
        <f t="shared" si="75"/>
        <v>West-David</v>
      </c>
      <c r="O1000">
        <f t="shared" si="76"/>
        <v>143716.17000000001</v>
      </c>
      <c r="P1000">
        <f t="shared" si="77"/>
        <v>145992.21</v>
      </c>
      <c r="Q1000">
        <f t="shared" si="78"/>
        <v>2276.039999999979</v>
      </c>
      <c r="R1000">
        <f t="shared" si="79"/>
        <v>1.5590146898933712</v>
      </c>
    </row>
    <row r="1001" spans="1:18" x14ac:dyDescent="0.35">
      <c r="A1001">
        <v>1086</v>
      </c>
      <c r="B1001" s="1">
        <v>45154</v>
      </c>
      <c r="C1001" t="s">
        <v>33</v>
      </c>
      <c r="D1001" t="s">
        <v>30</v>
      </c>
      <c r="E1001">
        <v>4923.93</v>
      </c>
      <c r="F1001">
        <v>48</v>
      </c>
      <c r="G1001" t="s">
        <v>24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tr">
        <f t="shared" si="75"/>
        <v>East-Alice</v>
      </c>
      <c r="O1001">
        <f t="shared" si="76"/>
        <v>126363.84</v>
      </c>
      <c r="P1001">
        <f t="shared" si="77"/>
        <v>140480.63999999998</v>
      </c>
      <c r="Q1001">
        <f t="shared" si="78"/>
        <v>14116.799999999988</v>
      </c>
      <c r="R1001">
        <f t="shared" si="79"/>
        <v>10.048929162053923</v>
      </c>
    </row>
    <row r="1004" spans="1:18" x14ac:dyDescent="0.35">
      <c r="A1004" s="2" t="s">
        <v>38</v>
      </c>
      <c r="E1004">
        <f>MAX(E2:E1001)</f>
        <v>9989.0400000000009</v>
      </c>
      <c r="F1004">
        <f>MAX(F2:F1001)</f>
        <v>49</v>
      </c>
      <c r="H1004">
        <f>MAX(H2:H1001)</f>
        <v>4995.3</v>
      </c>
      <c r="I1004">
        <f t="shared" ref="I1004:R1004" si="80">MAX(I2:I1001)</f>
        <v>5442.15</v>
      </c>
      <c r="K1004">
        <f t="shared" si="80"/>
        <v>0.3</v>
      </c>
      <c r="O1004">
        <f t="shared" si="80"/>
        <v>235808.09</v>
      </c>
      <c r="P1004">
        <f t="shared" si="80"/>
        <v>252147.36</v>
      </c>
      <c r="Q1004">
        <f t="shared" si="80"/>
        <v>23441.10999999952</v>
      </c>
      <c r="R1004">
        <f t="shared" si="80"/>
        <v>84.173778122575641</v>
      </c>
    </row>
    <row r="1005" spans="1:18" x14ac:dyDescent="0.35">
      <c r="A1005" s="2" t="s">
        <v>39</v>
      </c>
      <c r="E1005">
        <f>MIN(E2:E1001)</f>
        <v>100.12</v>
      </c>
      <c r="F1005">
        <f>MIN(F2:F1001)</f>
        <v>1</v>
      </c>
      <c r="H1005">
        <f>MIN(H2:H1001)</f>
        <v>60.28</v>
      </c>
      <c r="I1005">
        <f t="shared" ref="I1005:R1005" si="81">MIN(I2:I1001)</f>
        <v>167.12</v>
      </c>
      <c r="K1005">
        <f t="shared" si="81"/>
        <v>0</v>
      </c>
      <c r="O1005">
        <f t="shared" si="81"/>
        <v>60.28</v>
      </c>
      <c r="P1005">
        <f t="shared" si="81"/>
        <v>211.18</v>
      </c>
      <c r="Q1005">
        <f t="shared" si="81"/>
        <v>17.360000000000127</v>
      </c>
      <c r="R1005">
        <f t="shared" si="81"/>
        <v>0.22145403478448158</v>
      </c>
    </row>
    <row r="1006" spans="1:18" x14ac:dyDescent="0.35">
      <c r="A1006" s="2" t="s">
        <v>40</v>
      </c>
      <c r="E1006">
        <f>AVERAGE(E2:E1001)</f>
        <v>5019.2652300000027</v>
      </c>
      <c r="F1006">
        <f>AVERAGE(F2:F1001)</f>
        <v>25.355</v>
      </c>
      <c r="H1006">
        <f>AVERAGE(H2:H1001)</f>
        <v>2475.3045499999998</v>
      </c>
      <c r="I1006">
        <f t="shared" ref="I1006:R1006" si="82">AVERAGE(I2:I1001)</f>
        <v>2728.4401200000011</v>
      </c>
      <c r="K1006">
        <f t="shared" si="82"/>
        <v>0.15239000000000005</v>
      </c>
      <c r="O1006">
        <f t="shared" si="82"/>
        <v>63842.093640000065</v>
      </c>
      <c r="P1006">
        <f t="shared" si="82"/>
        <v>70329.940709999937</v>
      </c>
      <c r="Q1006">
        <f t="shared" si="82"/>
        <v>6487.8470699999734</v>
      </c>
      <c r="R1006">
        <f t="shared" si="82"/>
        <v>14.275659755938845</v>
      </c>
    </row>
    <row r="1007" spans="1:18" x14ac:dyDescent="0.35">
      <c r="A1007" s="2" t="s">
        <v>48</v>
      </c>
      <c r="E1007">
        <f>SUM(E2:E1001)</f>
        <v>5019265.2300000023</v>
      </c>
      <c r="F1007">
        <f t="shared" ref="F1007:R1007" si="83">SUM(F2:F1001)</f>
        <v>25355</v>
      </c>
      <c r="H1007">
        <f t="shared" si="83"/>
        <v>2475304.5499999998</v>
      </c>
      <c r="I1007">
        <f t="shared" si="83"/>
        <v>2728440.120000001</v>
      </c>
      <c r="K1007">
        <f t="shared" si="83"/>
        <v>152.39000000000004</v>
      </c>
      <c r="O1007">
        <f t="shared" si="83"/>
        <v>63842093.640000068</v>
      </c>
      <c r="P1007">
        <f t="shared" si="83"/>
        <v>70329940.709999934</v>
      </c>
      <c r="Q1007">
        <f t="shared" si="83"/>
        <v>6487847.0699999733</v>
      </c>
      <c r="R1007">
        <f t="shared" si="83"/>
        <v>14275.659755938845</v>
      </c>
    </row>
    <row r="1010" spans="1:10" x14ac:dyDescent="0.35">
      <c r="A1010" s="8" t="s">
        <v>41</v>
      </c>
      <c r="B1010" s="8"/>
      <c r="C1010" s="9">
        <f>COUNTIF(J2:J1001, "Returning")</f>
        <v>496</v>
      </c>
      <c r="F1010" s="6" t="s">
        <v>47</v>
      </c>
      <c r="G1010" s="6" t="s">
        <v>46</v>
      </c>
      <c r="H1010" s="5" t="s">
        <v>5</v>
      </c>
      <c r="I1010" s="5"/>
      <c r="J1010" s="6" t="s">
        <v>49</v>
      </c>
    </row>
    <row r="1011" spans="1:10" x14ac:dyDescent="0.35">
      <c r="A1011" s="8" t="s">
        <v>42</v>
      </c>
      <c r="B1011" s="8"/>
      <c r="C1011" s="9">
        <f>COUNTIF(J2:J1001, "New")</f>
        <v>504</v>
      </c>
      <c r="F1011" s="3" t="s">
        <v>15</v>
      </c>
      <c r="G1011" s="3">
        <f>SUMIF(D2:D1001,"North",P2:P1001)</f>
        <v>18208403.850000009</v>
      </c>
      <c r="H1011" s="4">
        <f>SUMIF(D2:D1001,"North",F2:F1001)</f>
        <v>6705</v>
      </c>
      <c r="I1011" s="4"/>
      <c r="J1011" s="3">
        <f>SUMIF(D2:D1001,"North",Q2:Q1001)</f>
        <v>1661461.1999999944</v>
      </c>
    </row>
    <row r="1012" spans="1:10" x14ac:dyDescent="0.35">
      <c r="A1012" s="10" t="s">
        <v>43</v>
      </c>
      <c r="B1012" s="10"/>
      <c r="C1012" s="11">
        <f>COUNTIF(L2:L1001, "Cash")</f>
        <v>313</v>
      </c>
      <c r="F1012" s="3" t="s">
        <v>23</v>
      </c>
      <c r="G1012" s="3">
        <f>SUMIF(D2:D1001,"South",P2:P1001)</f>
        <v>16282567.160000009</v>
      </c>
      <c r="H1012" s="4">
        <f>SUMIF(D2:D1001,"South",F2:F1001)</f>
        <v>5808</v>
      </c>
      <c r="I1012" s="4"/>
      <c r="J1012" s="3">
        <f>SUMIF(D2:D1001,"South",Q2:Q1001)</f>
        <v>1519736.8999999927</v>
      </c>
    </row>
    <row r="1013" spans="1:10" x14ac:dyDescent="0.35">
      <c r="A1013" s="10" t="s">
        <v>44</v>
      </c>
      <c r="B1013" s="10"/>
      <c r="C1013" s="11">
        <f>COUNTIF(L2:L1001, "Credit Card")</f>
        <v>345</v>
      </c>
      <c r="F1013" s="3" t="s">
        <v>20</v>
      </c>
      <c r="G1013" s="3">
        <f>SUMIF(D2:D1001,"West",P2:P1001)</f>
        <v>17761568.649999987</v>
      </c>
      <c r="H1013" s="4">
        <f>SUMIF(D2:D1001,"West",F2:F1001)</f>
        <v>6486</v>
      </c>
      <c r="I1013" s="4"/>
      <c r="J1013" s="3">
        <f>SUMIF(D2:D1001,"West",Q2:Q1001)</f>
        <v>1656091.7699999958</v>
      </c>
    </row>
    <row r="1014" spans="1:10" x14ac:dyDescent="0.35">
      <c r="A1014" s="10" t="s">
        <v>45</v>
      </c>
      <c r="B1014" s="10"/>
      <c r="C1014" s="11">
        <f>COUNTIF(L2:L1001, "Bank Transfer")</f>
        <v>342</v>
      </c>
      <c r="F1014" s="3" t="s">
        <v>30</v>
      </c>
      <c r="G1014" s="3">
        <f>SUMIF(D2:D1001,"East",P2:P1001)</f>
        <v>18077401.050000001</v>
      </c>
      <c r="H1014" s="4">
        <f>SUMIF(D2:D1001,"East",F2:F1001)</f>
        <v>6356</v>
      </c>
      <c r="I1014" s="4"/>
      <c r="J1014" s="3">
        <f>SUMIF(D2:D1001,"East",Q2:Q1001)</f>
        <v>1650557.1999999937</v>
      </c>
    </row>
    <row r="1015" spans="1:10" x14ac:dyDescent="0.35">
      <c r="A1015" s="12" t="s">
        <v>19</v>
      </c>
      <c r="B1015" s="12"/>
      <c r="C1015" s="13">
        <f>COUNTIF(M2:M1001, "Online")</f>
        <v>488</v>
      </c>
    </row>
    <row r="1016" spans="1:10" x14ac:dyDescent="0.35">
      <c r="A1016" s="12" t="s">
        <v>21</v>
      </c>
      <c r="B1016" s="12"/>
      <c r="C1016" s="13">
        <f>COUNTIF(M2:M1001, "Retail")</f>
        <v>512</v>
      </c>
    </row>
    <row r="1018" spans="1:10" x14ac:dyDescent="0.35">
      <c r="E1018" s="6" t="s">
        <v>2</v>
      </c>
      <c r="F1018" s="6" t="s">
        <v>46</v>
      </c>
      <c r="G1018" s="6" t="s">
        <v>5</v>
      </c>
      <c r="H1018" s="7"/>
    </row>
    <row r="1019" spans="1:10" x14ac:dyDescent="0.35">
      <c r="E1019" s="3" t="s">
        <v>14</v>
      </c>
      <c r="F1019">
        <f>SUMIF(C2:C1001,"Bob",P2:P1001)</f>
        <v>13712628.180000003</v>
      </c>
      <c r="G1019">
        <f>SUMIF(C2:C1001,"Bob",F2:F1001)</f>
        <v>4977</v>
      </c>
    </row>
    <row r="1020" spans="1:10" x14ac:dyDescent="0.35">
      <c r="E1020" s="3" t="s">
        <v>22</v>
      </c>
      <c r="F1020">
        <f>SUMIF(C2:C1001,"David",P2:P1001)</f>
        <v>16395583.950000005</v>
      </c>
      <c r="G1020">
        <f>SUMIF(C2:C1001,"David",F2:F1001)</f>
        <v>6042</v>
      </c>
    </row>
    <row r="1021" spans="1:10" x14ac:dyDescent="0.35">
      <c r="E1021" s="3" t="s">
        <v>29</v>
      </c>
      <c r="F1021">
        <f>SUMIF(C2:C1001,"Charlie",P2:P1001)</f>
        <v>11552249.049999991</v>
      </c>
      <c r="G1021">
        <f>SUMIF(C2:C1001,"Charlie",F2:F1001)</f>
        <v>4217</v>
      </c>
      <c r="H1021" s="7"/>
      <c r="I1021" s="7"/>
    </row>
    <row r="1022" spans="1:10" x14ac:dyDescent="0.35">
      <c r="E1022" s="3" t="s">
        <v>32</v>
      </c>
      <c r="F1022">
        <f>SUMIF(C2:C1001,"Eve",P2:P1001)</f>
        <v>15271749.440000001</v>
      </c>
      <c r="G1022">
        <f>SUMIF(C2:C1001,"Eve",F2:F1001)</f>
        <v>5287</v>
      </c>
    </row>
    <row r="1023" spans="1:10" x14ac:dyDescent="0.35">
      <c r="E1023" s="3" t="s">
        <v>33</v>
      </c>
      <c r="F1023">
        <f>SUMIF(C2:C1001,"Alice",P2:P1001)</f>
        <v>13397730.089999994</v>
      </c>
      <c r="G1023">
        <f>SUMIF(C2:C1001,"Alice",F2:F1001)</f>
        <v>4832</v>
      </c>
    </row>
    <row r="1024" spans="1:10" x14ac:dyDescent="0.35">
      <c r="E1024" s="3"/>
    </row>
  </sheetData>
  <mergeCells count="12">
    <mergeCell ref="A1015:B1015"/>
    <mergeCell ref="A1016:B1016"/>
    <mergeCell ref="A1010:B1010"/>
    <mergeCell ref="A1011:B1011"/>
    <mergeCell ref="A1012:B1012"/>
    <mergeCell ref="A1013:B1013"/>
    <mergeCell ref="A1014:B1014"/>
    <mergeCell ref="H1010:I1010"/>
    <mergeCell ref="H1011:I1011"/>
    <mergeCell ref="H1012:I1012"/>
    <mergeCell ref="H1013:I1013"/>
    <mergeCell ref="H1014:I1014"/>
  </mergeCells>
  <conditionalFormatting sqref="J1011:J10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11:G10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sales_data</vt:lpstr>
      <vt:lpstr>sales_data!Extract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Zara </cp:lastModifiedBy>
  <dcterms:created xsi:type="dcterms:W3CDTF">2026-01-06T23:41:53Z</dcterms:created>
  <dcterms:modified xsi:type="dcterms:W3CDTF">2026-01-08T23:55:03Z</dcterms:modified>
</cp:coreProperties>
</file>